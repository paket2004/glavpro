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0001" sheetId="1" r:id="rId1"/>
    <sheet name="000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2" l="1"/>
  <c r="H22" i="2" s="1"/>
  <c r="C22" i="2"/>
  <c r="G17" i="2"/>
  <c r="G16" i="2"/>
  <c r="E24" i="2" l="1"/>
  <c r="G24" i="2" s="1"/>
  <c r="F41" i="2" s="1"/>
  <c r="F45" i="2" s="1"/>
  <c r="F48" i="2" s="1"/>
  <c r="F27" i="2"/>
  <c r="C24" i="2"/>
  <c r="C41" i="2"/>
  <c r="D45" i="2" s="1"/>
  <c r="D48" i="2" s="1"/>
  <c r="C7" i="1"/>
  <c r="C6" i="1"/>
  <c r="I109" i="1"/>
  <c r="I80" i="1"/>
  <c r="F42" i="1"/>
  <c r="I54" i="1" s="1"/>
  <c r="F37" i="1"/>
  <c r="F35" i="1"/>
  <c r="I17" i="1"/>
  <c r="C42" i="2" l="1"/>
  <c r="D46" i="2" s="1"/>
  <c r="D49" i="2" s="1"/>
  <c r="D29" i="2"/>
  <c r="F29" i="2" s="1"/>
  <c r="F42" i="2" s="1"/>
  <c r="F46" i="2" s="1"/>
  <c r="F49" i="2" s="1"/>
  <c r="A29" i="2"/>
  <c r="E11" i="1"/>
  <c r="I108" i="1" s="1"/>
  <c r="E110" i="1" s="1"/>
  <c r="E115" i="1" s="1"/>
  <c r="I30" i="1"/>
  <c r="I31" i="1" s="1"/>
  <c r="I14" i="1"/>
  <c r="I73" i="1" s="1"/>
  <c r="C8" i="1"/>
  <c r="C9" i="1" s="1"/>
  <c r="I75" i="1" l="1"/>
  <c r="I15" i="1"/>
  <c r="C110" i="1"/>
  <c r="C115" i="1" s="1"/>
  <c r="I32" i="1"/>
  <c r="D44" i="1" s="1"/>
  <c r="I74" i="1" l="1"/>
  <c r="I79" i="1"/>
  <c r="I77" i="1" s="1"/>
  <c r="E93" i="1" s="1"/>
  <c r="I56" i="1"/>
  <c r="I55" i="1" s="1"/>
  <c r="D62" i="1" s="1"/>
  <c r="E65" i="1" l="1"/>
  <c r="E116" i="1" s="1"/>
  <c r="C65" i="1"/>
  <c r="C116" i="1" s="1"/>
  <c r="E95" i="1"/>
  <c r="E113" i="1" s="1"/>
  <c r="E94" i="1"/>
  <c r="E114" i="1" s="1"/>
  <c r="C93" i="1"/>
  <c r="C94" i="1" l="1"/>
  <c r="C114" i="1" s="1"/>
  <c r="C95" i="1"/>
  <c r="C113" i="1" s="1"/>
</calcChain>
</file>

<file path=xl/sharedStrings.xml><?xml version="1.0" encoding="utf-8"?>
<sst xmlns="http://schemas.openxmlformats.org/spreadsheetml/2006/main" count="226" uniqueCount="186">
  <si>
    <t>Исходные данные:</t>
  </si>
  <si>
    <t>Источники выделения загрязняющих веществ:</t>
  </si>
  <si>
    <t>шт.</t>
  </si>
  <si>
    <t>Вид топлива - природный газ.</t>
  </si>
  <si>
    <t xml:space="preserve">Расход топлива - </t>
  </si>
  <si>
    <t xml:space="preserve">Время работы - </t>
  </si>
  <si>
    <t xml:space="preserve">час/год      </t>
  </si>
  <si>
    <t>Потери тепла от механической неполноты сгорания  q4 %       =</t>
  </si>
  <si>
    <t>Низшая теплота сгорания топлива  Q         =</t>
  </si>
  <si>
    <t>Вр - расчетный расход топлива, определяемый по формуле (кг/с, т/год.)</t>
  </si>
  <si>
    <t>Вр = В (1-q4/100)</t>
  </si>
  <si>
    <t>Фактическая мощность всех котлов</t>
  </si>
  <si>
    <t>Qт квт=</t>
  </si>
  <si>
    <t>Номинальная мощность работающих котлов</t>
  </si>
  <si>
    <t>Qн квт=</t>
  </si>
  <si>
    <t xml:space="preserve">    Расчет выбросов загрязняющих веществ в атмосферу выполнялся согласно "Методики</t>
  </si>
  <si>
    <t>определения выбросов загрязняющих веществ в атмосферу при сжигании топлива в котлах</t>
  </si>
  <si>
    <t>производительностью менее 30 тонн пара в час или менее 20 Гкал в час", М.,1999 г.</t>
  </si>
  <si>
    <t>Расчет объема сухих дымовых газов</t>
  </si>
  <si>
    <t>Объем сухих дымовых газов при нормальных условиях рассчитывается по уравнению:</t>
  </si>
  <si>
    <t>для твердого и жидкого топлива расчет выполняют по химическому составу сжигаемого</t>
  </si>
  <si>
    <t>топлива по формулам:</t>
  </si>
  <si>
    <t>для  топлива</t>
  </si>
  <si>
    <t>Газ</t>
  </si>
  <si>
    <t>с`- содержание углерода,%</t>
  </si>
  <si>
    <t>S` -содержание серы (орган.и колчед),%</t>
  </si>
  <si>
    <t>Н`- содержание водорода,%</t>
  </si>
  <si>
    <t>О` - содержание кислорода,%</t>
  </si>
  <si>
    <t>N` - содержание азота,%</t>
  </si>
  <si>
    <t>W -влажность рабочей массы топлива,%</t>
  </si>
  <si>
    <t>Q - низшая теплота сгорания топлива, Мдж/кг</t>
  </si>
  <si>
    <t>Аr - зольность топлива</t>
  </si>
  <si>
    <t>Расчет концентраций бенз/а/пирена в уходящих газах котлов малой мощности</t>
  </si>
  <si>
    <t xml:space="preserve">Концентрацию бенз/а/пирена в сухих дымовых газах котлов малой мощности при </t>
  </si>
  <si>
    <t>сжигании природного газа Сбп (мг/нм3),расчитывают по формуле:</t>
  </si>
  <si>
    <t>для промтеплоэнергетических котлов</t>
  </si>
  <si>
    <t>где:</t>
  </si>
  <si>
    <t xml:space="preserve">        Q =</t>
  </si>
  <si>
    <t>g - теплонапряжение топочного объема кВт/м3   q= Вр*Q/ Vт</t>
  </si>
  <si>
    <t>q=</t>
  </si>
  <si>
    <t>Вр - расчетный расход топлива на номинальной нагрузке,м3/сек Вр =В(1-q4/100)</t>
  </si>
  <si>
    <t>Vт - объем топочной камеры, м3</t>
  </si>
  <si>
    <t>n=</t>
  </si>
  <si>
    <t>Vт=</t>
  </si>
  <si>
    <t>Кр - коэффициент, учитывающий рециркуляцию газов, приложение Е(Е2)</t>
  </si>
  <si>
    <t>Кр=</t>
  </si>
  <si>
    <t>Кд - коэффициент, учитывающий нагрузку котла, приложение Е (Е1)</t>
  </si>
  <si>
    <t>Кд=</t>
  </si>
  <si>
    <t>Кст - коэффициент, учитывающий влияние ступенчатого сжигания, приложение Е (Е3)</t>
  </si>
  <si>
    <t xml:space="preserve">      Cбп=</t>
  </si>
  <si>
    <t xml:space="preserve">                                      Мбп = Сбп * V *B *k</t>
  </si>
  <si>
    <t>Мбп  =</t>
  </si>
  <si>
    <t>г/сек</t>
  </si>
  <si>
    <t>т/год</t>
  </si>
  <si>
    <t xml:space="preserve">Суммарное количество оксидов азота в пересчете на двуокись азота (г/сек, т/год), выбрасываемых </t>
  </si>
  <si>
    <t>в атмосферу с дымовыми газами при сжигании природного газа, расчитываетс по формуле:</t>
  </si>
  <si>
    <t>Вр - расчетный расход топлива, определяемый по формуле (м3/с, тм3/год.)</t>
  </si>
  <si>
    <t>Q - низшая теплота сгорония топлива Мдж/кг</t>
  </si>
  <si>
    <t xml:space="preserve">        Qт -фактическая тепловая мощность котла, Qт=Вр*Q</t>
  </si>
  <si>
    <t>Qт=</t>
  </si>
  <si>
    <t>b1 - коэффициент, учитывающий температуру воздуха, b =1+0,002(t-30)</t>
  </si>
  <si>
    <t xml:space="preserve">b2 - коэффициент, учитывающий влияние избытка воздуха, </t>
  </si>
  <si>
    <t>b3 - коэффициент, учитывающий влияние рециркуляции газов, b3=0,17*r^0,5</t>
  </si>
  <si>
    <t>b4-коэффициент, учитывающий ступенчатый ввод воздуха в топочную камеру</t>
  </si>
  <si>
    <t>bг - коэффициент, учитывающий принципиальную конструкцию горелки,</t>
  </si>
  <si>
    <t xml:space="preserve">     для дутьевых горелок - 1,0; для инжекционных - 1,6; двухступенчатого сжигания - 0,7.</t>
  </si>
  <si>
    <t xml:space="preserve">kn -коэффициент пересчета </t>
  </si>
  <si>
    <t>трансформации оксида азота в атмосферном воздухе суммарные выбросы оксидов азота</t>
  </si>
  <si>
    <t>разделяются на составляющие :</t>
  </si>
  <si>
    <t>Оценка суммарного количества выбросов оксида углерода выполняется по соотношению:</t>
  </si>
  <si>
    <t>М со - суммарное количество выбросов СО г/с, т/год.</t>
  </si>
  <si>
    <t>В - расход топлива г/с, т/год</t>
  </si>
  <si>
    <t>q3 - потери тепла, вследствии химической неполноты сгорания топлива, % =</t>
  </si>
  <si>
    <t>R - коэффициент, учитывающий долю потери тепла вследствии химической неполноты</t>
  </si>
  <si>
    <t xml:space="preserve">     сгорания топлива, принимается  для твердого топлива - 1,0</t>
  </si>
  <si>
    <t xml:space="preserve">                                                                         мазута     - 0,65</t>
  </si>
  <si>
    <t xml:space="preserve">                                                                         газа         - 0,5</t>
  </si>
  <si>
    <t xml:space="preserve">             R=</t>
  </si>
  <si>
    <t>Q - низшая теплота сгорания натурального топлива Мдж/кг</t>
  </si>
  <si>
    <t>Мсо   =</t>
  </si>
  <si>
    <t>Выброс загрязняющих веществ при сжигании газа:</t>
  </si>
  <si>
    <t>a - коэффициент разбавления ,</t>
  </si>
  <si>
    <t>Va =</t>
  </si>
  <si>
    <t>нм3/кг</t>
  </si>
  <si>
    <t xml:space="preserve">                             Мсо = 0,001*В*q3*R Q( 1- q4/100)</t>
  </si>
  <si>
    <t>q4 - потери тепла, вследствии механической неполноты сгорания топлива, % =</t>
  </si>
  <si>
    <r>
      <t>тыс.м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/год</t>
    </r>
  </si>
  <si>
    <r>
      <t>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/час</t>
    </r>
  </si>
  <si>
    <r>
      <t>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/сек</t>
    </r>
  </si>
  <si>
    <r>
      <t>Мдж/нм</t>
    </r>
    <r>
      <rPr>
        <vertAlign val="superscript"/>
        <sz val="10"/>
        <rFont val="Times New Roman"/>
        <family val="1"/>
        <charset val="204"/>
      </rPr>
      <t>3</t>
    </r>
  </si>
  <si>
    <r>
      <t>Вр тм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/год =</t>
    </r>
  </si>
  <si>
    <r>
      <t>Вр 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/сек=</t>
    </r>
  </si>
  <si>
    <r>
      <t xml:space="preserve">                                         Va=V</t>
    </r>
    <r>
      <rPr>
        <vertAlign val="superscript"/>
        <sz val="10"/>
        <rFont val="Times New Roman"/>
        <family val="1"/>
        <charset val="204"/>
      </rPr>
      <t>0</t>
    </r>
    <r>
      <rPr>
        <vertAlign val="subscript"/>
        <sz val="10"/>
        <rFont val="Times New Roman"/>
        <family val="1"/>
        <charset val="204"/>
      </rPr>
      <t>r</t>
    </r>
    <r>
      <rPr>
        <vertAlign val="superscript"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+(a-1) V</t>
    </r>
    <r>
      <rPr>
        <vertAlign val="super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- V</t>
    </r>
    <r>
      <rPr>
        <vertAlign val="superscript"/>
        <sz val="10"/>
        <rFont val="Times New Roman"/>
        <family val="1"/>
        <charset val="204"/>
      </rPr>
      <t>0</t>
    </r>
    <r>
      <rPr>
        <vertAlign val="subscript"/>
        <sz val="10"/>
        <rFont val="Times New Roman"/>
        <family val="1"/>
        <charset val="204"/>
      </rPr>
      <t>н2о</t>
    </r>
    <r>
      <rPr>
        <sz val="10"/>
        <rFont val="Times New Roman"/>
        <family val="1"/>
        <charset val="204"/>
      </rPr>
      <t xml:space="preserve"> </t>
    </r>
  </si>
  <si>
    <r>
      <t>где   V</t>
    </r>
    <r>
      <rPr>
        <vertAlign val="superscript"/>
        <sz val="10"/>
        <rFont val="Times New Roman"/>
        <family val="1"/>
        <charset val="204"/>
      </rPr>
      <t>0</t>
    </r>
    <r>
      <rPr>
        <vertAlign val="subscript"/>
        <sz val="10"/>
        <rFont val="Times New Roman"/>
        <family val="1"/>
        <charset val="204"/>
      </rPr>
      <t>r</t>
    </r>
    <r>
      <rPr>
        <sz val="10"/>
        <rFont val="Times New Roman"/>
        <family val="1"/>
        <charset val="204"/>
      </rPr>
      <t xml:space="preserve"> , V</t>
    </r>
    <r>
      <rPr>
        <vertAlign val="super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,- V</t>
    </r>
    <r>
      <rPr>
        <vertAlign val="superscript"/>
        <sz val="10"/>
        <rFont val="Times New Roman"/>
        <family val="1"/>
        <charset val="204"/>
      </rPr>
      <t>0</t>
    </r>
    <r>
      <rPr>
        <vertAlign val="subscript"/>
        <sz val="10"/>
        <rFont val="Times New Roman"/>
        <family val="1"/>
        <charset val="204"/>
      </rPr>
      <t>н2о</t>
    </r>
    <r>
      <rPr>
        <sz val="10"/>
        <rFont val="Times New Roman"/>
        <family val="1"/>
        <charset val="204"/>
      </rPr>
      <t xml:space="preserve">  - соответственно объемы воздуха, дымовых газов и водяных паров при </t>
    </r>
  </si>
  <si>
    <r>
      <t>стехиометрическом сжигании одного килограмма (1 нм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) топлива, нм3/кг, (нм3/нм3)</t>
    </r>
  </si>
  <si>
    <r>
      <t>V</t>
    </r>
    <r>
      <rPr>
        <vertAlign val="super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 0.0889(C`+0,375S`) + 0,265H` - 0,0333O`</t>
    </r>
  </si>
  <si>
    <r>
      <t>V</t>
    </r>
    <r>
      <rPr>
        <vertAlign val="superscript"/>
        <sz val="10"/>
        <rFont val="Times New Roman"/>
        <family val="1"/>
        <charset val="204"/>
      </rPr>
      <t>o</t>
    </r>
    <r>
      <rPr>
        <sz val="10"/>
        <rFont val="Times New Roman"/>
        <family val="1"/>
        <charset val="204"/>
      </rPr>
      <t>=</t>
    </r>
  </si>
  <si>
    <r>
      <t>V</t>
    </r>
    <r>
      <rPr>
        <vertAlign val="superscript"/>
        <sz val="10"/>
        <rFont val="Times New Roman"/>
        <family val="1"/>
        <charset val="204"/>
      </rPr>
      <t>0</t>
    </r>
    <r>
      <rPr>
        <vertAlign val="subscript"/>
        <sz val="10"/>
        <rFont val="Times New Roman"/>
        <family val="1"/>
        <charset val="204"/>
      </rPr>
      <t>н2о</t>
    </r>
    <r>
      <rPr>
        <sz val="10"/>
        <rFont val="Times New Roman"/>
        <family val="1"/>
        <charset val="204"/>
      </rPr>
      <t>= 0,111Н` + 0,0124W` + 0,0161V</t>
    </r>
    <r>
      <rPr>
        <vertAlign val="superscript"/>
        <sz val="10"/>
        <rFont val="Times New Roman"/>
        <family val="1"/>
        <charset val="204"/>
      </rPr>
      <t>o</t>
    </r>
  </si>
  <si>
    <r>
      <t>V</t>
    </r>
    <r>
      <rPr>
        <vertAlign val="superscript"/>
        <sz val="10"/>
        <rFont val="Times New Roman"/>
        <family val="1"/>
        <charset val="204"/>
      </rPr>
      <t>o</t>
    </r>
    <r>
      <rPr>
        <vertAlign val="subscript"/>
        <sz val="10"/>
        <rFont val="Times New Roman"/>
        <family val="1"/>
        <charset val="204"/>
      </rPr>
      <t>н2o</t>
    </r>
    <r>
      <rPr>
        <sz val="10"/>
        <rFont val="Times New Roman"/>
        <family val="1"/>
        <charset val="204"/>
      </rPr>
      <t>=</t>
    </r>
  </si>
  <si>
    <r>
      <t>V</t>
    </r>
    <r>
      <rPr>
        <vertAlign val="superscript"/>
        <sz val="10"/>
        <rFont val="Times New Roman"/>
        <family val="1"/>
        <charset val="204"/>
      </rPr>
      <t>0</t>
    </r>
    <r>
      <rPr>
        <vertAlign val="subscript"/>
        <sz val="10"/>
        <rFont val="Times New Roman"/>
        <family val="1"/>
        <charset val="204"/>
      </rPr>
      <t>r</t>
    </r>
    <r>
      <rPr>
        <sz val="10"/>
        <rFont val="Times New Roman"/>
        <family val="1"/>
        <charset val="204"/>
      </rPr>
      <t xml:space="preserve"> = 1,866(C`+0,375S`)/100 + 0,79V</t>
    </r>
    <r>
      <rPr>
        <vertAlign val="superscript"/>
        <sz val="10"/>
        <rFont val="Times New Roman"/>
        <family val="1"/>
        <charset val="204"/>
      </rPr>
      <t xml:space="preserve">o </t>
    </r>
    <r>
      <rPr>
        <sz val="10"/>
        <rFont val="Times New Roman"/>
        <family val="1"/>
        <charset val="204"/>
      </rPr>
      <t>+0,8N`/100 + V</t>
    </r>
    <r>
      <rPr>
        <vertAlign val="superscript"/>
        <sz val="10"/>
        <rFont val="Times New Roman"/>
        <family val="1"/>
        <charset val="204"/>
      </rPr>
      <t>o</t>
    </r>
    <r>
      <rPr>
        <vertAlign val="subscript"/>
        <sz val="10"/>
        <rFont val="Times New Roman"/>
        <family val="1"/>
        <charset val="204"/>
      </rPr>
      <t>н2о</t>
    </r>
  </si>
  <si>
    <r>
      <t>V</t>
    </r>
    <r>
      <rPr>
        <vertAlign val="superscript"/>
        <sz val="10"/>
        <rFont val="Times New Roman"/>
        <family val="1"/>
        <charset val="204"/>
      </rPr>
      <t>0</t>
    </r>
    <r>
      <rPr>
        <vertAlign val="subscript"/>
        <sz val="10"/>
        <rFont val="Times New Roman"/>
        <family val="1"/>
        <charset val="204"/>
      </rPr>
      <t>r</t>
    </r>
    <r>
      <rPr>
        <sz val="10"/>
        <rFont val="Times New Roman"/>
        <family val="1"/>
        <charset val="204"/>
      </rPr>
      <t xml:space="preserve"> = </t>
    </r>
  </si>
  <si>
    <r>
      <t xml:space="preserve">                                 Сбп =  0,001*(0,059+0,079*0,001*q)/e</t>
    </r>
    <r>
      <rPr>
        <vertAlign val="superscript"/>
        <sz val="10"/>
        <rFont val="Times New Roman"/>
        <family val="1"/>
        <charset val="204"/>
      </rPr>
      <t xml:space="preserve">3,5(a-1) </t>
    </r>
    <r>
      <rPr>
        <sz val="10"/>
        <rFont val="Times New Roman"/>
        <family val="1"/>
        <charset val="204"/>
      </rPr>
      <t>*Kд*Кр*Кст</t>
    </r>
  </si>
  <si>
    <r>
      <t>мг/нм</t>
    </r>
    <r>
      <rPr>
        <vertAlign val="superscript"/>
        <sz val="10"/>
        <rFont val="Times New Roman"/>
        <family val="1"/>
        <charset val="204"/>
      </rPr>
      <t>3</t>
    </r>
  </si>
  <si>
    <r>
      <t xml:space="preserve"> M</t>
    </r>
    <r>
      <rPr>
        <vertAlign val="subscript"/>
        <sz val="10"/>
        <rFont val="Times New Roman"/>
        <family val="1"/>
        <charset val="204"/>
      </rPr>
      <t>NOx</t>
    </r>
    <r>
      <rPr>
        <sz val="10"/>
        <rFont val="Times New Roman"/>
        <family val="1"/>
        <charset val="204"/>
      </rPr>
      <t xml:space="preserve"> = Bp * Q * KNO * b1 * bг * b2 * (1-b3) * (1-b4) * k</t>
    </r>
    <r>
      <rPr>
        <vertAlign val="subscript"/>
        <sz val="10"/>
        <rFont val="Times New Roman"/>
        <family val="1"/>
        <charset val="204"/>
      </rPr>
      <t>n</t>
    </r>
  </si>
  <si>
    <r>
      <t>Вртм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/год =</t>
    </r>
  </si>
  <si>
    <r>
      <t>Вр 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/сек =</t>
    </r>
  </si>
  <si>
    <r>
      <t>K</t>
    </r>
    <r>
      <rPr>
        <vertAlign val="subscript"/>
        <sz val="10"/>
        <rFont val="Times New Roman"/>
        <family val="1"/>
        <charset val="204"/>
      </rPr>
      <t>NO</t>
    </r>
    <r>
      <rPr>
        <sz val="10"/>
        <rFont val="Times New Roman"/>
        <family val="1"/>
        <charset val="204"/>
      </rPr>
      <t xml:space="preserve"> - удельный выброс окислов азота  г/Мдж</t>
    </r>
  </si>
  <si>
    <r>
      <t xml:space="preserve">        для водогрейных котлов К = 0,013* Qт^</t>
    </r>
    <r>
      <rPr>
        <vertAlign val="superscript"/>
        <sz val="10"/>
        <rFont val="Times New Roman"/>
        <family val="1"/>
        <charset val="204"/>
      </rPr>
      <t xml:space="preserve">0,5  </t>
    </r>
    <r>
      <rPr>
        <sz val="10"/>
        <rFont val="Times New Roman"/>
        <family val="1"/>
        <charset val="204"/>
      </rPr>
      <t>+0,03</t>
    </r>
  </si>
  <si>
    <r>
      <t>K</t>
    </r>
    <r>
      <rPr>
        <vertAlign val="subscript"/>
        <sz val="10"/>
        <rFont val="Times New Roman"/>
        <family val="1"/>
        <charset val="204"/>
      </rPr>
      <t>NO</t>
    </r>
    <r>
      <rPr>
        <sz val="10"/>
        <rFont val="Times New Roman"/>
        <family val="1"/>
        <charset val="204"/>
      </rPr>
      <t xml:space="preserve"> =</t>
    </r>
  </si>
  <si>
    <r>
      <t>для паровых котлов К = 0,01*D^</t>
    </r>
    <r>
      <rPr>
        <vertAlign val="superscript"/>
        <sz val="10"/>
        <rFont val="Times New Roman"/>
        <family val="1"/>
        <charset val="204"/>
      </rPr>
      <t>0,5</t>
    </r>
    <r>
      <rPr>
        <sz val="10"/>
        <rFont val="Times New Roman"/>
        <family val="1"/>
        <charset val="204"/>
      </rPr>
      <t>+0,03</t>
    </r>
  </si>
  <si>
    <r>
      <t>при определении выбросов в граммах в секунду k</t>
    </r>
    <r>
      <rPr>
        <vertAlign val="subscript"/>
        <sz val="10"/>
        <rFont val="Times New Roman"/>
        <family val="1"/>
        <charset val="204"/>
      </rPr>
      <t>n</t>
    </r>
    <r>
      <rPr>
        <sz val="10"/>
        <rFont val="Times New Roman"/>
        <family val="1"/>
        <charset val="204"/>
      </rPr>
      <t xml:space="preserve"> = 1</t>
    </r>
  </si>
  <si>
    <r>
      <t>при определении выбросов в тоннах в год k</t>
    </r>
    <r>
      <rPr>
        <vertAlign val="subscript"/>
        <sz val="10"/>
        <rFont val="Times New Roman"/>
        <family val="1"/>
        <charset val="204"/>
      </rPr>
      <t xml:space="preserve">n </t>
    </r>
    <r>
      <rPr>
        <sz val="10"/>
        <rFont val="Times New Roman"/>
        <family val="1"/>
        <charset val="204"/>
      </rPr>
      <t>= 0,001</t>
    </r>
  </si>
  <si>
    <r>
      <t>В связи с установленными раздельными ПДК оксида NO и диоксида азота NO</t>
    </r>
    <r>
      <rPr>
        <vertAlign val="subscript"/>
        <sz val="10"/>
        <rFont val="Times New Roman"/>
        <family val="1"/>
        <charset val="204"/>
      </rPr>
      <t>2</t>
    </r>
    <r>
      <rPr>
        <sz val="10"/>
        <rFont val="Times New Roman"/>
        <family val="1"/>
        <charset val="204"/>
      </rPr>
      <t xml:space="preserve"> и с учетом</t>
    </r>
  </si>
  <si>
    <r>
      <t>M</t>
    </r>
    <r>
      <rPr>
        <vertAlign val="subscript"/>
        <sz val="10"/>
        <rFont val="Times New Roman"/>
        <family val="1"/>
        <charset val="204"/>
      </rPr>
      <t>NO</t>
    </r>
    <r>
      <rPr>
        <sz val="10"/>
        <rFont val="Times New Roman"/>
        <family val="1"/>
        <charset val="204"/>
      </rPr>
      <t xml:space="preserve"> = 0,13 * M</t>
    </r>
    <r>
      <rPr>
        <vertAlign val="subscript"/>
        <sz val="10"/>
        <rFont val="Times New Roman"/>
        <family val="1"/>
        <charset val="204"/>
      </rPr>
      <t>NOx</t>
    </r>
  </si>
  <si>
    <r>
      <t>М</t>
    </r>
    <r>
      <rPr>
        <vertAlign val="subscript"/>
        <sz val="10"/>
        <rFont val="Times New Roman"/>
        <family val="1"/>
        <charset val="204"/>
      </rPr>
      <t>NO2</t>
    </r>
    <r>
      <rPr>
        <sz val="10"/>
        <rFont val="Times New Roman"/>
        <family val="1"/>
        <charset val="204"/>
      </rPr>
      <t xml:space="preserve"> = 0,8 *  M</t>
    </r>
    <r>
      <rPr>
        <vertAlign val="subscript"/>
        <sz val="10"/>
        <rFont val="Times New Roman"/>
        <family val="1"/>
        <charset val="204"/>
      </rPr>
      <t>NOx</t>
    </r>
  </si>
  <si>
    <r>
      <t xml:space="preserve"> M</t>
    </r>
    <r>
      <rPr>
        <vertAlign val="subscript"/>
        <sz val="10"/>
        <rFont val="Times New Roman"/>
        <family val="1"/>
        <charset val="204"/>
      </rPr>
      <t>NOx</t>
    </r>
    <r>
      <rPr>
        <sz val="10"/>
        <rFont val="Times New Roman"/>
        <family val="1"/>
        <charset val="204"/>
      </rPr>
      <t xml:space="preserve"> =</t>
    </r>
  </si>
  <si>
    <r>
      <t>M</t>
    </r>
    <r>
      <rPr>
        <vertAlign val="subscript"/>
        <sz val="10"/>
        <rFont val="Times New Roman"/>
        <family val="1"/>
        <charset val="204"/>
      </rPr>
      <t>NO</t>
    </r>
    <r>
      <rPr>
        <sz val="10"/>
        <rFont val="Times New Roman"/>
        <family val="1"/>
        <charset val="204"/>
      </rPr>
      <t xml:space="preserve"> = </t>
    </r>
  </si>
  <si>
    <r>
      <t>М</t>
    </r>
    <r>
      <rPr>
        <vertAlign val="subscript"/>
        <sz val="10"/>
        <rFont val="Times New Roman"/>
        <family val="1"/>
        <charset val="204"/>
      </rPr>
      <t>NO2</t>
    </r>
    <r>
      <rPr>
        <sz val="10"/>
        <rFont val="Times New Roman"/>
        <family val="1"/>
        <charset val="204"/>
      </rPr>
      <t xml:space="preserve"> = </t>
    </r>
  </si>
  <si>
    <t>Источник № 0001 - Труба котельной</t>
  </si>
  <si>
    <t xml:space="preserve">Котлы водогрейные </t>
  </si>
  <si>
    <t>при сжигании природного газа.</t>
  </si>
  <si>
    <t>Расчет выбросов оксида азота при сжигании природного газа</t>
  </si>
  <si>
    <t>Расчет количества выбросов оксида углерода</t>
  </si>
  <si>
    <t>Наименование ЗВ</t>
  </si>
  <si>
    <t>Выброс, г/сек</t>
  </si>
  <si>
    <t>Выброс, т/год</t>
  </si>
  <si>
    <t>Азота диоксид  (0301)</t>
  </si>
  <si>
    <t>Азота оксид (0304)</t>
  </si>
  <si>
    <t>Углерода оксид (0337)</t>
  </si>
  <si>
    <t>Бенз/а/пирен (0703)</t>
  </si>
  <si>
    <t>Источник №0002 - Труба продувочной свечи</t>
  </si>
  <si>
    <t>При превышении рабочего давления в газопроводе происходит выбос газа через сбросной</t>
  </si>
  <si>
    <t xml:space="preserve">клапан газорегулярного пункта. </t>
  </si>
  <si>
    <t xml:space="preserve">Предусмотрен сбросный трубопровод </t>
  </si>
  <si>
    <t>диаметр</t>
  </si>
  <si>
    <t xml:space="preserve"> мм</t>
  </si>
  <si>
    <t>высота</t>
  </si>
  <si>
    <t xml:space="preserve"> м</t>
  </si>
  <si>
    <t xml:space="preserve">Для регулирования с высокого давления до среднего предусматривается установка ГРУ </t>
  </si>
  <si>
    <t>типа ГРУ-13-2Н-У1.</t>
  </si>
  <si>
    <t xml:space="preserve">Газорегуляторный пункт оснащен сбросным клапаном ПСК-50 </t>
  </si>
  <si>
    <t>Расход газа на проверку срабатывания ПСК в соответсвии с РД  153-39.4-079-01</t>
  </si>
  <si>
    <t xml:space="preserve">определяется с паспортной пропускной способностью сбросного устройства и временем </t>
  </si>
  <si>
    <t>затраченным на данную технологическую операцию.</t>
  </si>
  <si>
    <t>Пропускная способность сбросных предохранительных клапанов ПСК-50 при увеличении</t>
  </si>
  <si>
    <r>
      <t>давления в газопроводе сверх заданного на 15% составляет 7-20 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/час на среднем давлении,</t>
    </r>
  </si>
  <si>
    <r>
      <t xml:space="preserve"> 0,2-0,5 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>/час на низком давлении</t>
    </r>
  </si>
  <si>
    <t>давление газа на входе</t>
  </si>
  <si>
    <t>МПа</t>
  </si>
  <si>
    <t>Па</t>
  </si>
  <si>
    <t>давление на выходе</t>
  </si>
  <si>
    <t>Пропускная способность сбросных предохранительных клапанов ПСК-50</t>
  </si>
  <si>
    <t>Количество газа, подлежащего сбросу предохранительно- сбросным клапаном, при наличии</t>
  </si>
  <si>
    <t>перед регулятором давления крана шарового определяется по формуле (СНиП 2. 04.08 - 87):</t>
  </si>
  <si>
    <t xml:space="preserve">Q = </t>
  </si>
  <si>
    <t xml:space="preserve">0,0005*Qг  </t>
  </si>
  <si>
    <t xml:space="preserve">Q метана  = </t>
  </si>
  <si>
    <t xml:space="preserve"> *0,0005  = </t>
  </si>
  <si>
    <t>или</t>
  </si>
  <si>
    <t>Годовое количество выбросов метана:</t>
  </si>
  <si>
    <t>*600*12 =</t>
  </si>
  <si>
    <t>г/год</t>
  </si>
  <si>
    <t>Выброс этилмеркаптана рассчитывается исходя из нормы одоризации газа:</t>
  </si>
  <si>
    <r>
      <t>16 г этилмеркаптана на 1000 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 xml:space="preserve"> газа и составит:</t>
    </r>
  </si>
  <si>
    <t xml:space="preserve">Q этилмер.  = </t>
  </si>
  <si>
    <t xml:space="preserve">16 * 0,117/3600/1000 = </t>
  </si>
  <si>
    <t>Годовой расход этилмеркаптана:</t>
  </si>
  <si>
    <t xml:space="preserve">В расчетах приземных концентраций загрязняющих веществ с применением нормативной методики </t>
  </si>
  <si>
    <t xml:space="preserve">расчета ОНД-86 должны использоваться мощности выбросов ЗВ в атмосферу, М(г/с), отнесенные к </t>
  </si>
  <si>
    <t>20-ти минутному интервалу времени</t>
  </si>
  <si>
    <t xml:space="preserve">        М =  Q / 1200</t>
  </si>
  <si>
    <t>где :</t>
  </si>
  <si>
    <t>Q - суммарная масса ЗВ , выброшенная в атмосферу из рассматриваемого источника</t>
  </si>
  <si>
    <t>в течении времени его действия - Т.</t>
  </si>
  <si>
    <t xml:space="preserve">       Q = Ми * Т</t>
  </si>
  <si>
    <t>Т - время  действия источника в (с).</t>
  </si>
  <si>
    <t>сек</t>
  </si>
  <si>
    <t>Величина используемая в расчетах загрязнения атмосферы составит:</t>
  </si>
  <si>
    <t>Метан</t>
  </si>
  <si>
    <t>г/с</t>
  </si>
  <si>
    <t>Этилмеркаптан</t>
  </si>
  <si>
    <t>Максимально разовый и валовый выброс загрязняющих веществ от данного источника составляет:</t>
  </si>
  <si>
    <t>0410</t>
  </si>
  <si>
    <t>1728</t>
  </si>
  <si>
    <t>Этантиол</t>
  </si>
  <si>
    <t>Государственному учету и нормированию подлежат следующие вещества: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</si>
</sst>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0.0"/>
    <numFmt numFmtId="165" formatCode="0.0000"/>
    <numFmt numFmtId="166" formatCode="0.000000"/>
    <numFmt numFmtId="167" formatCode="0.000000000"/>
    <numFmt numFmtId="168" formatCode="0.00000000"/>
    <numFmt numFmtId="169" formatCode="0.000"/>
    <numFmt numFmtId="170" formatCode="0.0000000"/>
    <numFmt numFmtId="171" formatCode="0.000000000000"/>
    <numFmt numFmtId="172" formatCode="0.00000"/>
    <numFmt numFmtId="173" formatCode="0.0000000000"/>
    <numFmt numFmtId="174" formatCode="0.00000000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2" fillId="0" borderId="0" xfId="1" applyFont="1"/>
    <xf numFmtId="0" fontId="3" fillId="0" borderId="0" xfId="1" applyFont="1"/>
    <xf numFmtId="164" fontId="3" fillId="0" borderId="0" xfId="1" applyNumberFormat="1" applyFont="1"/>
    <xf numFmtId="1" fontId="3" fillId="0" borderId="0" xfId="1" applyNumberFormat="1" applyFont="1"/>
    <xf numFmtId="2" fontId="3" fillId="0" borderId="0" xfId="1" applyNumberFormat="1" applyFont="1"/>
    <xf numFmtId="165" fontId="3" fillId="0" borderId="0" xfId="1" applyNumberFormat="1" applyFont="1"/>
    <xf numFmtId="2" fontId="2" fillId="0" borderId="0" xfId="1" applyNumberFormat="1" applyFont="1"/>
    <xf numFmtId="0" fontId="2" fillId="0" borderId="0" xfId="1" applyFont="1" applyAlignment="1"/>
    <xf numFmtId="165" fontId="2" fillId="0" borderId="0" xfId="1" applyNumberFormat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166" fontId="2" fillId="0" borderId="0" xfId="1" applyNumberFormat="1" applyFont="1"/>
    <xf numFmtId="167" fontId="2" fillId="0" borderId="0" xfId="1" applyNumberFormat="1" applyFont="1"/>
    <xf numFmtId="168" fontId="2" fillId="0" borderId="0" xfId="1" applyNumberFormat="1" applyFont="1"/>
    <xf numFmtId="169" fontId="2" fillId="0" borderId="0" xfId="1" applyNumberFormat="1" applyFont="1"/>
    <xf numFmtId="0" fontId="2" fillId="0" borderId="0" xfId="1" applyFont="1" applyBorder="1"/>
    <xf numFmtId="165" fontId="2" fillId="0" borderId="0" xfId="1" applyNumberFormat="1" applyFont="1" applyBorder="1"/>
    <xf numFmtId="0" fontId="6" fillId="0" borderId="0" xfId="1" applyFont="1"/>
    <xf numFmtId="2" fontId="2" fillId="0" borderId="0" xfId="1" applyNumberFormat="1" applyFont="1" applyAlignment="1">
      <alignment horizontal="left"/>
    </xf>
    <xf numFmtId="0" fontId="3" fillId="0" borderId="0" xfId="2" applyFont="1"/>
    <xf numFmtId="0" fontId="2" fillId="0" borderId="0" xfId="2" applyFont="1"/>
    <xf numFmtId="0" fontId="7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0" fontId="2" fillId="0" borderId="0" xfId="2" applyFont="1" applyAlignment="1">
      <alignment horizontal="left" indent="1"/>
    </xf>
    <xf numFmtId="170" fontId="2" fillId="0" borderId="0" xfId="2" applyNumberFormat="1" applyFont="1"/>
    <xf numFmtId="166" fontId="2" fillId="0" borderId="0" xfId="2" applyNumberFormat="1" applyFont="1"/>
    <xf numFmtId="166" fontId="2" fillId="0" borderId="0" xfId="2" applyNumberFormat="1" applyFont="1" applyAlignment="1">
      <alignment horizontal="center"/>
    </xf>
    <xf numFmtId="171" fontId="2" fillId="0" borderId="0" xfId="2" applyNumberFormat="1" applyFont="1" applyAlignment="1">
      <alignment horizontal="center" shrinkToFit="1"/>
    </xf>
    <xf numFmtId="0" fontId="2" fillId="0" borderId="0" xfId="2" applyFont="1" applyFill="1"/>
    <xf numFmtId="0" fontId="2" fillId="0" borderId="0" xfId="3" applyFont="1"/>
    <xf numFmtId="49" fontId="3" fillId="0" borderId="1" xfId="4" applyNumberFormat="1" applyFont="1" applyBorder="1" applyAlignment="1">
      <alignment horizontal="right"/>
    </xf>
    <xf numFmtId="166" fontId="3" fillId="0" borderId="1" xfId="4" applyNumberFormat="1" applyFont="1" applyBorder="1"/>
    <xf numFmtId="0" fontId="3" fillId="0" borderId="1" xfId="4" applyFont="1" applyBorder="1"/>
    <xf numFmtId="173" fontId="3" fillId="0" borderId="1" xfId="4" applyNumberFormat="1" applyFont="1" applyBorder="1"/>
    <xf numFmtId="174" fontId="3" fillId="0" borderId="1" xfId="4" applyNumberFormat="1" applyFont="1" applyBorder="1"/>
    <xf numFmtId="0" fontId="2" fillId="0" borderId="0" xfId="0" applyFont="1" applyFill="1"/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/>
    </xf>
    <xf numFmtId="170" fontId="2" fillId="0" borderId="1" xfId="1" applyNumberFormat="1" applyFont="1" applyBorder="1" applyAlignment="1">
      <alignment horizontal="center" vertical="center"/>
    </xf>
    <xf numFmtId="0" fontId="3" fillId="0" borderId="1" xfId="4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7" fontId="2" fillId="0" borderId="0" xfId="2" applyNumberFormat="1" applyFont="1" applyAlignment="1">
      <alignment horizontal="center"/>
    </xf>
    <xf numFmtId="167" fontId="2" fillId="0" borderId="0" xfId="2" applyNumberFormat="1" applyFont="1" applyAlignment="1">
      <alignment horizontal="center" shrinkToFit="1"/>
    </xf>
    <xf numFmtId="171" fontId="2" fillId="0" borderId="0" xfId="2" applyNumberFormat="1" applyFont="1" applyAlignment="1">
      <alignment horizontal="center" shrinkToFit="1"/>
    </xf>
    <xf numFmtId="172" fontId="2" fillId="0" borderId="0" xfId="2" applyNumberFormat="1" applyFont="1" applyAlignment="1">
      <alignment horizontal="center"/>
    </xf>
    <xf numFmtId="173" fontId="2" fillId="0" borderId="0" xfId="2" applyNumberFormat="1" applyFont="1" applyAlignment="1">
      <alignment horizontal="center"/>
    </xf>
    <xf numFmtId="167" fontId="2" fillId="0" borderId="1" xfId="1" applyNumberFormat="1" applyFont="1" applyBorder="1" applyAlignment="1">
      <alignment horizontal="center" vertical="center"/>
    </xf>
  </cellXfs>
  <cellStyles count="5">
    <cellStyle name="Обычный" xfId="0" builtinId="0"/>
    <cellStyle name="Обычный 2" xfId="2"/>
    <cellStyle name="Обычный_высок. Инвент 2" xfId="4"/>
    <cellStyle name="Обычный_Дискус" xfId="1"/>
    <cellStyle name="Обычный_ИНВ ж.д.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83</xdr:row>
      <xdr:rowOff>0</xdr:rowOff>
    </xdr:from>
    <xdr:to>
      <xdr:col>2</xdr:col>
      <xdr:colOff>175260</xdr:colOff>
      <xdr:row>83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234440" y="151714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175260</xdr:colOff>
      <xdr:row>116</xdr:row>
      <xdr:rowOff>0</xdr:rowOff>
    </xdr:from>
    <xdr:to>
      <xdr:col>2</xdr:col>
      <xdr:colOff>175260</xdr:colOff>
      <xdr:row>116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234440" y="214655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view="pageBreakPreview" topLeftCell="A93" zoomScale="115" zoomScaleNormal="100" zoomScaleSheetLayoutView="115" workbookViewId="0">
      <selection activeCell="E116" sqref="E116:F116"/>
    </sheetView>
  </sheetViews>
  <sheetFormatPr defaultColWidth="9.109375" defaultRowHeight="13.2" x14ac:dyDescent="0.25"/>
  <cols>
    <col min="1" max="1" width="9.109375" style="1"/>
    <col min="2" max="2" width="13.44140625" style="1" customWidth="1"/>
    <col min="3" max="3" width="13.109375" style="1" customWidth="1"/>
    <col min="4" max="4" width="10.88671875" style="1" customWidth="1"/>
    <col min="5" max="5" width="13.109375" style="1" customWidth="1"/>
    <col min="6" max="6" width="9.77734375" style="1" customWidth="1"/>
    <col min="7" max="7" width="7.6640625" style="1" customWidth="1"/>
    <col min="8" max="8" width="10.6640625" style="1" customWidth="1"/>
    <col min="9" max="9" width="9.5546875" style="1" bestFit="1" customWidth="1"/>
    <col min="10" max="257" width="9.109375" style="1"/>
    <col min="258" max="258" width="6.33203125" style="1" customWidth="1"/>
    <col min="259" max="259" width="13.109375" style="1" customWidth="1"/>
    <col min="260" max="260" width="10.88671875" style="1" customWidth="1"/>
    <col min="261" max="261" width="13.109375" style="1" customWidth="1"/>
    <col min="262" max="262" width="12.6640625" style="1" customWidth="1"/>
    <col min="263" max="263" width="7.6640625" style="1" customWidth="1"/>
    <col min="264" max="264" width="10.6640625" style="1" customWidth="1"/>
    <col min="265" max="265" width="9.5546875" style="1" bestFit="1" customWidth="1"/>
    <col min="266" max="513" width="9.109375" style="1"/>
    <col min="514" max="514" width="6.33203125" style="1" customWidth="1"/>
    <col min="515" max="515" width="13.109375" style="1" customWidth="1"/>
    <col min="516" max="516" width="10.88671875" style="1" customWidth="1"/>
    <col min="517" max="517" width="13.109375" style="1" customWidth="1"/>
    <col min="518" max="518" width="12.6640625" style="1" customWidth="1"/>
    <col min="519" max="519" width="7.6640625" style="1" customWidth="1"/>
    <col min="520" max="520" width="10.6640625" style="1" customWidth="1"/>
    <col min="521" max="521" width="9.5546875" style="1" bestFit="1" customWidth="1"/>
    <col min="522" max="769" width="9.109375" style="1"/>
    <col min="770" max="770" width="6.33203125" style="1" customWidth="1"/>
    <col min="771" max="771" width="13.109375" style="1" customWidth="1"/>
    <col min="772" max="772" width="10.88671875" style="1" customWidth="1"/>
    <col min="773" max="773" width="13.109375" style="1" customWidth="1"/>
    <col min="774" max="774" width="12.6640625" style="1" customWidth="1"/>
    <col min="775" max="775" width="7.6640625" style="1" customWidth="1"/>
    <col min="776" max="776" width="10.6640625" style="1" customWidth="1"/>
    <col min="777" max="777" width="9.5546875" style="1" bestFit="1" customWidth="1"/>
    <col min="778" max="1025" width="9.109375" style="1"/>
    <col min="1026" max="1026" width="6.33203125" style="1" customWidth="1"/>
    <col min="1027" max="1027" width="13.109375" style="1" customWidth="1"/>
    <col min="1028" max="1028" width="10.88671875" style="1" customWidth="1"/>
    <col min="1029" max="1029" width="13.109375" style="1" customWidth="1"/>
    <col min="1030" max="1030" width="12.6640625" style="1" customWidth="1"/>
    <col min="1031" max="1031" width="7.6640625" style="1" customWidth="1"/>
    <col min="1032" max="1032" width="10.6640625" style="1" customWidth="1"/>
    <col min="1033" max="1033" width="9.5546875" style="1" bestFit="1" customWidth="1"/>
    <col min="1034" max="1281" width="9.109375" style="1"/>
    <col min="1282" max="1282" width="6.33203125" style="1" customWidth="1"/>
    <col min="1283" max="1283" width="13.109375" style="1" customWidth="1"/>
    <col min="1284" max="1284" width="10.88671875" style="1" customWidth="1"/>
    <col min="1285" max="1285" width="13.109375" style="1" customWidth="1"/>
    <col min="1286" max="1286" width="12.6640625" style="1" customWidth="1"/>
    <col min="1287" max="1287" width="7.6640625" style="1" customWidth="1"/>
    <col min="1288" max="1288" width="10.6640625" style="1" customWidth="1"/>
    <col min="1289" max="1289" width="9.5546875" style="1" bestFit="1" customWidth="1"/>
    <col min="1290" max="1537" width="9.109375" style="1"/>
    <col min="1538" max="1538" width="6.33203125" style="1" customWidth="1"/>
    <col min="1539" max="1539" width="13.109375" style="1" customWidth="1"/>
    <col min="1540" max="1540" width="10.88671875" style="1" customWidth="1"/>
    <col min="1541" max="1541" width="13.109375" style="1" customWidth="1"/>
    <col min="1542" max="1542" width="12.6640625" style="1" customWidth="1"/>
    <col min="1543" max="1543" width="7.6640625" style="1" customWidth="1"/>
    <col min="1544" max="1544" width="10.6640625" style="1" customWidth="1"/>
    <col min="1545" max="1545" width="9.5546875" style="1" bestFit="1" customWidth="1"/>
    <col min="1546" max="1793" width="9.109375" style="1"/>
    <col min="1794" max="1794" width="6.33203125" style="1" customWidth="1"/>
    <col min="1795" max="1795" width="13.109375" style="1" customWidth="1"/>
    <col min="1796" max="1796" width="10.88671875" style="1" customWidth="1"/>
    <col min="1797" max="1797" width="13.109375" style="1" customWidth="1"/>
    <col min="1798" max="1798" width="12.6640625" style="1" customWidth="1"/>
    <col min="1799" max="1799" width="7.6640625" style="1" customWidth="1"/>
    <col min="1800" max="1800" width="10.6640625" style="1" customWidth="1"/>
    <col min="1801" max="1801" width="9.5546875" style="1" bestFit="1" customWidth="1"/>
    <col min="1802" max="2049" width="9.109375" style="1"/>
    <col min="2050" max="2050" width="6.33203125" style="1" customWidth="1"/>
    <col min="2051" max="2051" width="13.109375" style="1" customWidth="1"/>
    <col min="2052" max="2052" width="10.88671875" style="1" customWidth="1"/>
    <col min="2053" max="2053" width="13.109375" style="1" customWidth="1"/>
    <col min="2054" max="2054" width="12.6640625" style="1" customWidth="1"/>
    <col min="2055" max="2055" width="7.6640625" style="1" customWidth="1"/>
    <col min="2056" max="2056" width="10.6640625" style="1" customWidth="1"/>
    <col min="2057" max="2057" width="9.5546875" style="1" bestFit="1" customWidth="1"/>
    <col min="2058" max="2305" width="9.109375" style="1"/>
    <col min="2306" max="2306" width="6.33203125" style="1" customWidth="1"/>
    <col min="2307" max="2307" width="13.109375" style="1" customWidth="1"/>
    <col min="2308" max="2308" width="10.88671875" style="1" customWidth="1"/>
    <col min="2309" max="2309" width="13.109375" style="1" customWidth="1"/>
    <col min="2310" max="2310" width="12.6640625" style="1" customWidth="1"/>
    <col min="2311" max="2311" width="7.6640625" style="1" customWidth="1"/>
    <col min="2312" max="2312" width="10.6640625" style="1" customWidth="1"/>
    <col min="2313" max="2313" width="9.5546875" style="1" bestFit="1" customWidth="1"/>
    <col min="2314" max="2561" width="9.109375" style="1"/>
    <col min="2562" max="2562" width="6.33203125" style="1" customWidth="1"/>
    <col min="2563" max="2563" width="13.109375" style="1" customWidth="1"/>
    <col min="2564" max="2564" width="10.88671875" style="1" customWidth="1"/>
    <col min="2565" max="2565" width="13.109375" style="1" customWidth="1"/>
    <col min="2566" max="2566" width="12.6640625" style="1" customWidth="1"/>
    <col min="2567" max="2567" width="7.6640625" style="1" customWidth="1"/>
    <col min="2568" max="2568" width="10.6640625" style="1" customWidth="1"/>
    <col min="2569" max="2569" width="9.5546875" style="1" bestFit="1" customWidth="1"/>
    <col min="2570" max="2817" width="9.109375" style="1"/>
    <col min="2818" max="2818" width="6.33203125" style="1" customWidth="1"/>
    <col min="2819" max="2819" width="13.109375" style="1" customWidth="1"/>
    <col min="2820" max="2820" width="10.88671875" style="1" customWidth="1"/>
    <col min="2821" max="2821" width="13.109375" style="1" customWidth="1"/>
    <col min="2822" max="2822" width="12.6640625" style="1" customWidth="1"/>
    <col min="2823" max="2823" width="7.6640625" style="1" customWidth="1"/>
    <col min="2824" max="2824" width="10.6640625" style="1" customWidth="1"/>
    <col min="2825" max="2825" width="9.5546875" style="1" bestFit="1" customWidth="1"/>
    <col min="2826" max="3073" width="9.109375" style="1"/>
    <col min="3074" max="3074" width="6.33203125" style="1" customWidth="1"/>
    <col min="3075" max="3075" width="13.109375" style="1" customWidth="1"/>
    <col min="3076" max="3076" width="10.88671875" style="1" customWidth="1"/>
    <col min="3077" max="3077" width="13.109375" style="1" customWidth="1"/>
    <col min="3078" max="3078" width="12.6640625" style="1" customWidth="1"/>
    <col min="3079" max="3079" width="7.6640625" style="1" customWidth="1"/>
    <col min="3080" max="3080" width="10.6640625" style="1" customWidth="1"/>
    <col min="3081" max="3081" width="9.5546875" style="1" bestFit="1" customWidth="1"/>
    <col min="3082" max="3329" width="9.109375" style="1"/>
    <col min="3330" max="3330" width="6.33203125" style="1" customWidth="1"/>
    <col min="3331" max="3331" width="13.109375" style="1" customWidth="1"/>
    <col min="3332" max="3332" width="10.88671875" style="1" customWidth="1"/>
    <col min="3333" max="3333" width="13.109375" style="1" customWidth="1"/>
    <col min="3334" max="3334" width="12.6640625" style="1" customWidth="1"/>
    <col min="3335" max="3335" width="7.6640625" style="1" customWidth="1"/>
    <col min="3336" max="3336" width="10.6640625" style="1" customWidth="1"/>
    <col min="3337" max="3337" width="9.5546875" style="1" bestFit="1" customWidth="1"/>
    <col min="3338" max="3585" width="9.109375" style="1"/>
    <col min="3586" max="3586" width="6.33203125" style="1" customWidth="1"/>
    <col min="3587" max="3587" width="13.109375" style="1" customWidth="1"/>
    <col min="3588" max="3588" width="10.88671875" style="1" customWidth="1"/>
    <col min="3589" max="3589" width="13.109375" style="1" customWidth="1"/>
    <col min="3590" max="3590" width="12.6640625" style="1" customWidth="1"/>
    <col min="3591" max="3591" width="7.6640625" style="1" customWidth="1"/>
    <col min="3592" max="3592" width="10.6640625" style="1" customWidth="1"/>
    <col min="3593" max="3593" width="9.5546875" style="1" bestFit="1" customWidth="1"/>
    <col min="3594" max="3841" width="9.109375" style="1"/>
    <col min="3842" max="3842" width="6.33203125" style="1" customWidth="1"/>
    <col min="3843" max="3843" width="13.109375" style="1" customWidth="1"/>
    <col min="3844" max="3844" width="10.88671875" style="1" customWidth="1"/>
    <col min="3845" max="3845" width="13.109375" style="1" customWidth="1"/>
    <col min="3846" max="3846" width="12.6640625" style="1" customWidth="1"/>
    <col min="3847" max="3847" width="7.6640625" style="1" customWidth="1"/>
    <col min="3848" max="3848" width="10.6640625" style="1" customWidth="1"/>
    <col min="3849" max="3849" width="9.5546875" style="1" bestFit="1" customWidth="1"/>
    <col min="3850" max="4097" width="9.109375" style="1"/>
    <col min="4098" max="4098" width="6.33203125" style="1" customWidth="1"/>
    <col min="4099" max="4099" width="13.109375" style="1" customWidth="1"/>
    <col min="4100" max="4100" width="10.88671875" style="1" customWidth="1"/>
    <col min="4101" max="4101" width="13.109375" style="1" customWidth="1"/>
    <col min="4102" max="4102" width="12.6640625" style="1" customWidth="1"/>
    <col min="4103" max="4103" width="7.6640625" style="1" customWidth="1"/>
    <col min="4104" max="4104" width="10.6640625" style="1" customWidth="1"/>
    <col min="4105" max="4105" width="9.5546875" style="1" bestFit="1" customWidth="1"/>
    <col min="4106" max="4353" width="9.109375" style="1"/>
    <col min="4354" max="4354" width="6.33203125" style="1" customWidth="1"/>
    <col min="4355" max="4355" width="13.109375" style="1" customWidth="1"/>
    <col min="4356" max="4356" width="10.88671875" style="1" customWidth="1"/>
    <col min="4357" max="4357" width="13.109375" style="1" customWidth="1"/>
    <col min="4358" max="4358" width="12.6640625" style="1" customWidth="1"/>
    <col min="4359" max="4359" width="7.6640625" style="1" customWidth="1"/>
    <col min="4360" max="4360" width="10.6640625" style="1" customWidth="1"/>
    <col min="4361" max="4361" width="9.5546875" style="1" bestFit="1" customWidth="1"/>
    <col min="4362" max="4609" width="9.109375" style="1"/>
    <col min="4610" max="4610" width="6.33203125" style="1" customWidth="1"/>
    <col min="4611" max="4611" width="13.109375" style="1" customWidth="1"/>
    <col min="4612" max="4612" width="10.88671875" style="1" customWidth="1"/>
    <col min="4613" max="4613" width="13.109375" style="1" customWidth="1"/>
    <col min="4614" max="4614" width="12.6640625" style="1" customWidth="1"/>
    <col min="4615" max="4615" width="7.6640625" style="1" customWidth="1"/>
    <col min="4616" max="4616" width="10.6640625" style="1" customWidth="1"/>
    <col min="4617" max="4617" width="9.5546875" style="1" bestFit="1" customWidth="1"/>
    <col min="4618" max="4865" width="9.109375" style="1"/>
    <col min="4866" max="4866" width="6.33203125" style="1" customWidth="1"/>
    <col min="4867" max="4867" width="13.109375" style="1" customWidth="1"/>
    <col min="4868" max="4868" width="10.88671875" style="1" customWidth="1"/>
    <col min="4869" max="4869" width="13.109375" style="1" customWidth="1"/>
    <col min="4870" max="4870" width="12.6640625" style="1" customWidth="1"/>
    <col min="4871" max="4871" width="7.6640625" style="1" customWidth="1"/>
    <col min="4872" max="4872" width="10.6640625" style="1" customWidth="1"/>
    <col min="4873" max="4873" width="9.5546875" style="1" bestFit="1" customWidth="1"/>
    <col min="4874" max="5121" width="9.109375" style="1"/>
    <col min="5122" max="5122" width="6.33203125" style="1" customWidth="1"/>
    <col min="5123" max="5123" width="13.109375" style="1" customWidth="1"/>
    <col min="5124" max="5124" width="10.88671875" style="1" customWidth="1"/>
    <col min="5125" max="5125" width="13.109375" style="1" customWidth="1"/>
    <col min="5126" max="5126" width="12.6640625" style="1" customWidth="1"/>
    <col min="5127" max="5127" width="7.6640625" style="1" customWidth="1"/>
    <col min="5128" max="5128" width="10.6640625" style="1" customWidth="1"/>
    <col min="5129" max="5129" width="9.5546875" style="1" bestFit="1" customWidth="1"/>
    <col min="5130" max="5377" width="9.109375" style="1"/>
    <col min="5378" max="5378" width="6.33203125" style="1" customWidth="1"/>
    <col min="5379" max="5379" width="13.109375" style="1" customWidth="1"/>
    <col min="5380" max="5380" width="10.88671875" style="1" customWidth="1"/>
    <col min="5381" max="5381" width="13.109375" style="1" customWidth="1"/>
    <col min="5382" max="5382" width="12.6640625" style="1" customWidth="1"/>
    <col min="5383" max="5383" width="7.6640625" style="1" customWidth="1"/>
    <col min="5384" max="5384" width="10.6640625" style="1" customWidth="1"/>
    <col min="5385" max="5385" width="9.5546875" style="1" bestFit="1" customWidth="1"/>
    <col min="5386" max="5633" width="9.109375" style="1"/>
    <col min="5634" max="5634" width="6.33203125" style="1" customWidth="1"/>
    <col min="5635" max="5635" width="13.109375" style="1" customWidth="1"/>
    <col min="5636" max="5636" width="10.88671875" style="1" customWidth="1"/>
    <col min="5637" max="5637" width="13.109375" style="1" customWidth="1"/>
    <col min="5638" max="5638" width="12.6640625" style="1" customWidth="1"/>
    <col min="5639" max="5639" width="7.6640625" style="1" customWidth="1"/>
    <col min="5640" max="5640" width="10.6640625" style="1" customWidth="1"/>
    <col min="5641" max="5641" width="9.5546875" style="1" bestFit="1" customWidth="1"/>
    <col min="5642" max="5889" width="9.109375" style="1"/>
    <col min="5890" max="5890" width="6.33203125" style="1" customWidth="1"/>
    <col min="5891" max="5891" width="13.109375" style="1" customWidth="1"/>
    <col min="5892" max="5892" width="10.88671875" style="1" customWidth="1"/>
    <col min="5893" max="5893" width="13.109375" style="1" customWidth="1"/>
    <col min="5894" max="5894" width="12.6640625" style="1" customWidth="1"/>
    <col min="5895" max="5895" width="7.6640625" style="1" customWidth="1"/>
    <col min="5896" max="5896" width="10.6640625" style="1" customWidth="1"/>
    <col min="5897" max="5897" width="9.5546875" style="1" bestFit="1" customWidth="1"/>
    <col min="5898" max="6145" width="9.109375" style="1"/>
    <col min="6146" max="6146" width="6.33203125" style="1" customWidth="1"/>
    <col min="6147" max="6147" width="13.109375" style="1" customWidth="1"/>
    <col min="6148" max="6148" width="10.88671875" style="1" customWidth="1"/>
    <col min="6149" max="6149" width="13.109375" style="1" customWidth="1"/>
    <col min="6150" max="6150" width="12.6640625" style="1" customWidth="1"/>
    <col min="6151" max="6151" width="7.6640625" style="1" customWidth="1"/>
    <col min="6152" max="6152" width="10.6640625" style="1" customWidth="1"/>
    <col min="6153" max="6153" width="9.5546875" style="1" bestFit="1" customWidth="1"/>
    <col min="6154" max="6401" width="9.109375" style="1"/>
    <col min="6402" max="6402" width="6.33203125" style="1" customWidth="1"/>
    <col min="6403" max="6403" width="13.109375" style="1" customWidth="1"/>
    <col min="6404" max="6404" width="10.88671875" style="1" customWidth="1"/>
    <col min="6405" max="6405" width="13.109375" style="1" customWidth="1"/>
    <col min="6406" max="6406" width="12.6640625" style="1" customWidth="1"/>
    <col min="6407" max="6407" width="7.6640625" style="1" customWidth="1"/>
    <col min="6408" max="6408" width="10.6640625" style="1" customWidth="1"/>
    <col min="6409" max="6409" width="9.5546875" style="1" bestFit="1" customWidth="1"/>
    <col min="6410" max="6657" width="9.109375" style="1"/>
    <col min="6658" max="6658" width="6.33203125" style="1" customWidth="1"/>
    <col min="6659" max="6659" width="13.109375" style="1" customWidth="1"/>
    <col min="6660" max="6660" width="10.88671875" style="1" customWidth="1"/>
    <col min="6661" max="6661" width="13.109375" style="1" customWidth="1"/>
    <col min="6662" max="6662" width="12.6640625" style="1" customWidth="1"/>
    <col min="6663" max="6663" width="7.6640625" style="1" customWidth="1"/>
    <col min="6664" max="6664" width="10.6640625" style="1" customWidth="1"/>
    <col min="6665" max="6665" width="9.5546875" style="1" bestFit="1" customWidth="1"/>
    <col min="6666" max="6913" width="9.109375" style="1"/>
    <col min="6914" max="6914" width="6.33203125" style="1" customWidth="1"/>
    <col min="6915" max="6915" width="13.109375" style="1" customWidth="1"/>
    <col min="6916" max="6916" width="10.88671875" style="1" customWidth="1"/>
    <col min="6917" max="6917" width="13.109375" style="1" customWidth="1"/>
    <col min="6918" max="6918" width="12.6640625" style="1" customWidth="1"/>
    <col min="6919" max="6919" width="7.6640625" style="1" customWidth="1"/>
    <col min="6920" max="6920" width="10.6640625" style="1" customWidth="1"/>
    <col min="6921" max="6921" width="9.5546875" style="1" bestFit="1" customWidth="1"/>
    <col min="6922" max="7169" width="9.109375" style="1"/>
    <col min="7170" max="7170" width="6.33203125" style="1" customWidth="1"/>
    <col min="7171" max="7171" width="13.109375" style="1" customWidth="1"/>
    <col min="7172" max="7172" width="10.88671875" style="1" customWidth="1"/>
    <col min="7173" max="7173" width="13.109375" style="1" customWidth="1"/>
    <col min="7174" max="7174" width="12.6640625" style="1" customWidth="1"/>
    <col min="7175" max="7175" width="7.6640625" style="1" customWidth="1"/>
    <col min="7176" max="7176" width="10.6640625" style="1" customWidth="1"/>
    <col min="7177" max="7177" width="9.5546875" style="1" bestFit="1" customWidth="1"/>
    <col min="7178" max="7425" width="9.109375" style="1"/>
    <col min="7426" max="7426" width="6.33203125" style="1" customWidth="1"/>
    <col min="7427" max="7427" width="13.109375" style="1" customWidth="1"/>
    <col min="7428" max="7428" width="10.88671875" style="1" customWidth="1"/>
    <col min="7429" max="7429" width="13.109375" style="1" customWidth="1"/>
    <col min="7430" max="7430" width="12.6640625" style="1" customWidth="1"/>
    <col min="7431" max="7431" width="7.6640625" style="1" customWidth="1"/>
    <col min="7432" max="7432" width="10.6640625" style="1" customWidth="1"/>
    <col min="7433" max="7433" width="9.5546875" style="1" bestFit="1" customWidth="1"/>
    <col min="7434" max="7681" width="9.109375" style="1"/>
    <col min="7682" max="7682" width="6.33203125" style="1" customWidth="1"/>
    <col min="7683" max="7683" width="13.109375" style="1" customWidth="1"/>
    <col min="7684" max="7684" width="10.88671875" style="1" customWidth="1"/>
    <col min="7685" max="7685" width="13.109375" style="1" customWidth="1"/>
    <col min="7686" max="7686" width="12.6640625" style="1" customWidth="1"/>
    <col min="7687" max="7687" width="7.6640625" style="1" customWidth="1"/>
    <col min="7688" max="7688" width="10.6640625" style="1" customWidth="1"/>
    <col min="7689" max="7689" width="9.5546875" style="1" bestFit="1" customWidth="1"/>
    <col min="7690" max="7937" width="9.109375" style="1"/>
    <col min="7938" max="7938" width="6.33203125" style="1" customWidth="1"/>
    <col min="7939" max="7939" width="13.109375" style="1" customWidth="1"/>
    <col min="7940" max="7940" width="10.88671875" style="1" customWidth="1"/>
    <col min="7941" max="7941" width="13.109375" style="1" customWidth="1"/>
    <col min="7942" max="7942" width="12.6640625" style="1" customWidth="1"/>
    <col min="7943" max="7943" width="7.6640625" style="1" customWidth="1"/>
    <col min="7944" max="7944" width="10.6640625" style="1" customWidth="1"/>
    <col min="7945" max="7945" width="9.5546875" style="1" bestFit="1" customWidth="1"/>
    <col min="7946" max="8193" width="9.109375" style="1"/>
    <col min="8194" max="8194" width="6.33203125" style="1" customWidth="1"/>
    <col min="8195" max="8195" width="13.109375" style="1" customWidth="1"/>
    <col min="8196" max="8196" width="10.88671875" style="1" customWidth="1"/>
    <col min="8197" max="8197" width="13.109375" style="1" customWidth="1"/>
    <col min="8198" max="8198" width="12.6640625" style="1" customWidth="1"/>
    <col min="8199" max="8199" width="7.6640625" style="1" customWidth="1"/>
    <col min="8200" max="8200" width="10.6640625" style="1" customWidth="1"/>
    <col min="8201" max="8201" width="9.5546875" style="1" bestFit="1" customWidth="1"/>
    <col min="8202" max="8449" width="9.109375" style="1"/>
    <col min="8450" max="8450" width="6.33203125" style="1" customWidth="1"/>
    <col min="8451" max="8451" width="13.109375" style="1" customWidth="1"/>
    <col min="8452" max="8452" width="10.88671875" style="1" customWidth="1"/>
    <col min="8453" max="8453" width="13.109375" style="1" customWidth="1"/>
    <col min="8454" max="8454" width="12.6640625" style="1" customWidth="1"/>
    <col min="8455" max="8455" width="7.6640625" style="1" customWidth="1"/>
    <col min="8456" max="8456" width="10.6640625" style="1" customWidth="1"/>
    <col min="8457" max="8457" width="9.5546875" style="1" bestFit="1" customWidth="1"/>
    <col min="8458" max="8705" width="9.109375" style="1"/>
    <col min="8706" max="8706" width="6.33203125" style="1" customWidth="1"/>
    <col min="8707" max="8707" width="13.109375" style="1" customWidth="1"/>
    <col min="8708" max="8708" width="10.88671875" style="1" customWidth="1"/>
    <col min="8709" max="8709" width="13.109375" style="1" customWidth="1"/>
    <col min="8710" max="8710" width="12.6640625" style="1" customWidth="1"/>
    <col min="8711" max="8711" width="7.6640625" style="1" customWidth="1"/>
    <col min="8712" max="8712" width="10.6640625" style="1" customWidth="1"/>
    <col min="8713" max="8713" width="9.5546875" style="1" bestFit="1" customWidth="1"/>
    <col min="8714" max="8961" width="9.109375" style="1"/>
    <col min="8962" max="8962" width="6.33203125" style="1" customWidth="1"/>
    <col min="8963" max="8963" width="13.109375" style="1" customWidth="1"/>
    <col min="8964" max="8964" width="10.88671875" style="1" customWidth="1"/>
    <col min="8965" max="8965" width="13.109375" style="1" customWidth="1"/>
    <col min="8966" max="8966" width="12.6640625" style="1" customWidth="1"/>
    <col min="8967" max="8967" width="7.6640625" style="1" customWidth="1"/>
    <col min="8968" max="8968" width="10.6640625" style="1" customWidth="1"/>
    <col min="8969" max="8969" width="9.5546875" style="1" bestFit="1" customWidth="1"/>
    <col min="8970" max="9217" width="9.109375" style="1"/>
    <col min="9218" max="9218" width="6.33203125" style="1" customWidth="1"/>
    <col min="9219" max="9219" width="13.109375" style="1" customWidth="1"/>
    <col min="9220" max="9220" width="10.88671875" style="1" customWidth="1"/>
    <col min="9221" max="9221" width="13.109375" style="1" customWidth="1"/>
    <col min="9222" max="9222" width="12.6640625" style="1" customWidth="1"/>
    <col min="9223" max="9223" width="7.6640625" style="1" customWidth="1"/>
    <col min="9224" max="9224" width="10.6640625" style="1" customWidth="1"/>
    <col min="9225" max="9225" width="9.5546875" style="1" bestFit="1" customWidth="1"/>
    <col min="9226" max="9473" width="9.109375" style="1"/>
    <col min="9474" max="9474" width="6.33203125" style="1" customWidth="1"/>
    <col min="9475" max="9475" width="13.109375" style="1" customWidth="1"/>
    <col min="9476" max="9476" width="10.88671875" style="1" customWidth="1"/>
    <col min="9477" max="9477" width="13.109375" style="1" customWidth="1"/>
    <col min="9478" max="9478" width="12.6640625" style="1" customWidth="1"/>
    <col min="9479" max="9479" width="7.6640625" style="1" customWidth="1"/>
    <col min="9480" max="9480" width="10.6640625" style="1" customWidth="1"/>
    <col min="9481" max="9481" width="9.5546875" style="1" bestFit="1" customWidth="1"/>
    <col min="9482" max="9729" width="9.109375" style="1"/>
    <col min="9730" max="9730" width="6.33203125" style="1" customWidth="1"/>
    <col min="9731" max="9731" width="13.109375" style="1" customWidth="1"/>
    <col min="9732" max="9732" width="10.88671875" style="1" customWidth="1"/>
    <col min="9733" max="9733" width="13.109375" style="1" customWidth="1"/>
    <col min="9734" max="9734" width="12.6640625" style="1" customWidth="1"/>
    <col min="9735" max="9735" width="7.6640625" style="1" customWidth="1"/>
    <col min="9736" max="9736" width="10.6640625" style="1" customWidth="1"/>
    <col min="9737" max="9737" width="9.5546875" style="1" bestFit="1" customWidth="1"/>
    <col min="9738" max="9985" width="9.109375" style="1"/>
    <col min="9986" max="9986" width="6.33203125" style="1" customWidth="1"/>
    <col min="9987" max="9987" width="13.109375" style="1" customWidth="1"/>
    <col min="9988" max="9988" width="10.88671875" style="1" customWidth="1"/>
    <col min="9989" max="9989" width="13.109375" style="1" customWidth="1"/>
    <col min="9990" max="9990" width="12.6640625" style="1" customWidth="1"/>
    <col min="9991" max="9991" width="7.6640625" style="1" customWidth="1"/>
    <col min="9992" max="9992" width="10.6640625" style="1" customWidth="1"/>
    <col min="9993" max="9993" width="9.5546875" style="1" bestFit="1" customWidth="1"/>
    <col min="9994" max="10241" width="9.109375" style="1"/>
    <col min="10242" max="10242" width="6.33203125" style="1" customWidth="1"/>
    <col min="10243" max="10243" width="13.109375" style="1" customWidth="1"/>
    <col min="10244" max="10244" width="10.88671875" style="1" customWidth="1"/>
    <col min="10245" max="10245" width="13.109375" style="1" customWidth="1"/>
    <col min="10246" max="10246" width="12.6640625" style="1" customWidth="1"/>
    <col min="10247" max="10247" width="7.6640625" style="1" customWidth="1"/>
    <col min="10248" max="10248" width="10.6640625" style="1" customWidth="1"/>
    <col min="10249" max="10249" width="9.5546875" style="1" bestFit="1" customWidth="1"/>
    <col min="10250" max="10497" width="9.109375" style="1"/>
    <col min="10498" max="10498" width="6.33203125" style="1" customWidth="1"/>
    <col min="10499" max="10499" width="13.109375" style="1" customWidth="1"/>
    <col min="10500" max="10500" width="10.88671875" style="1" customWidth="1"/>
    <col min="10501" max="10501" width="13.109375" style="1" customWidth="1"/>
    <col min="10502" max="10502" width="12.6640625" style="1" customWidth="1"/>
    <col min="10503" max="10503" width="7.6640625" style="1" customWidth="1"/>
    <col min="10504" max="10504" width="10.6640625" style="1" customWidth="1"/>
    <col min="10505" max="10505" width="9.5546875" style="1" bestFit="1" customWidth="1"/>
    <col min="10506" max="10753" width="9.109375" style="1"/>
    <col min="10754" max="10754" width="6.33203125" style="1" customWidth="1"/>
    <col min="10755" max="10755" width="13.109375" style="1" customWidth="1"/>
    <col min="10756" max="10756" width="10.88671875" style="1" customWidth="1"/>
    <col min="10757" max="10757" width="13.109375" style="1" customWidth="1"/>
    <col min="10758" max="10758" width="12.6640625" style="1" customWidth="1"/>
    <col min="10759" max="10759" width="7.6640625" style="1" customWidth="1"/>
    <col min="10760" max="10760" width="10.6640625" style="1" customWidth="1"/>
    <col min="10761" max="10761" width="9.5546875" style="1" bestFit="1" customWidth="1"/>
    <col min="10762" max="11009" width="9.109375" style="1"/>
    <col min="11010" max="11010" width="6.33203125" style="1" customWidth="1"/>
    <col min="11011" max="11011" width="13.109375" style="1" customWidth="1"/>
    <col min="11012" max="11012" width="10.88671875" style="1" customWidth="1"/>
    <col min="11013" max="11013" width="13.109375" style="1" customWidth="1"/>
    <col min="11014" max="11014" width="12.6640625" style="1" customWidth="1"/>
    <col min="11015" max="11015" width="7.6640625" style="1" customWidth="1"/>
    <col min="11016" max="11016" width="10.6640625" style="1" customWidth="1"/>
    <col min="11017" max="11017" width="9.5546875" style="1" bestFit="1" customWidth="1"/>
    <col min="11018" max="11265" width="9.109375" style="1"/>
    <col min="11266" max="11266" width="6.33203125" style="1" customWidth="1"/>
    <col min="11267" max="11267" width="13.109375" style="1" customWidth="1"/>
    <col min="11268" max="11268" width="10.88671875" style="1" customWidth="1"/>
    <col min="11269" max="11269" width="13.109375" style="1" customWidth="1"/>
    <col min="11270" max="11270" width="12.6640625" style="1" customWidth="1"/>
    <col min="11271" max="11271" width="7.6640625" style="1" customWidth="1"/>
    <col min="11272" max="11272" width="10.6640625" style="1" customWidth="1"/>
    <col min="11273" max="11273" width="9.5546875" style="1" bestFit="1" customWidth="1"/>
    <col min="11274" max="11521" width="9.109375" style="1"/>
    <col min="11522" max="11522" width="6.33203125" style="1" customWidth="1"/>
    <col min="11523" max="11523" width="13.109375" style="1" customWidth="1"/>
    <col min="11524" max="11524" width="10.88671875" style="1" customWidth="1"/>
    <col min="11525" max="11525" width="13.109375" style="1" customWidth="1"/>
    <col min="11526" max="11526" width="12.6640625" style="1" customWidth="1"/>
    <col min="11527" max="11527" width="7.6640625" style="1" customWidth="1"/>
    <col min="11528" max="11528" width="10.6640625" style="1" customWidth="1"/>
    <col min="11529" max="11529" width="9.5546875" style="1" bestFit="1" customWidth="1"/>
    <col min="11530" max="11777" width="9.109375" style="1"/>
    <col min="11778" max="11778" width="6.33203125" style="1" customWidth="1"/>
    <col min="11779" max="11779" width="13.109375" style="1" customWidth="1"/>
    <col min="11780" max="11780" width="10.88671875" style="1" customWidth="1"/>
    <col min="11781" max="11781" width="13.109375" style="1" customWidth="1"/>
    <col min="11782" max="11782" width="12.6640625" style="1" customWidth="1"/>
    <col min="11783" max="11783" width="7.6640625" style="1" customWidth="1"/>
    <col min="11784" max="11784" width="10.6640625" style="1" customWidth="1"/>
    <col min="11785" max="11785" width="9.5546875" style="1" bestFit="1" customWidth="1"/>
    <col min="11786" max="12033" width="9.109375" style="1"/>
    <col min="12034" max="12034" width="6.33203125" style="1" customWidth="1"/>
    <col min="12035" max="12035" width="13.109375" style="1" customWidth="1"/>
    <col min="12036" max="12036" width="10.88671875" style="1" customWidth="1"/>
    <col min="12037" max="12037" width="13.109375" style="1" customWidth="1"/>
    <col min="12038" max="12038" width="12.6640625" style="1" customWidth="1"/>
    <col min="12039" max="12039" width="7.6640625" style="1" customWidth="1"/>
    <col min="12040" max="12040" width="10.6640625" style="1" customWidth="1"/>
    <col min="12041" max="12041" width="9.5546875" style="1" bestFit="1" customWidth="1"/>
    <col min="12042" max="12289" width="9.109375" style="1"/>
    <col min="12290" max="12290" width="6.33203125" style="1" customWidth="1"/>
    <col min="12291" max="12291" width="13.109375" style="1" customWidth="1"/>
    <col min="12292" max="12292" width="10.88671875" style="1" customWidth="1"/>
    <col min="12293" max="12293" width="13.109375" style="1" customWidth="1"/>
    <col min="12294" max="12294" width="12.6640625" style="1" customWidth="1"/>
    <col min="12295" max="12295" width="7.6640625" style="1" customWidth="1"/>
    <col min="12296" max="12296" width="10.6640625" style="1" customWidth="1"/>
    <col min="12297" max="12297" width="9.5546875" style="1" bestFit="1" customWidth="1"/>
    <col min="12298" max="12545" width="9.109375" style="1"/>
    <col min="12546" max="12546" width="6.33203125" style="1" customWidth="1"/>
    <col min="12547" max="12547" width="13.109375" style="1" customWidth="1"/>
    <col min="12548" max="12548" width="10.88671875" style="1" customWidth="1"/>
    <col min="12549" max="12549" width="13.109375" style="1" customWidth="1"/>
    <col min="12550" max="12550" width="12.6640625" style="1" customWidth="1"/>
    <col min="12551" max="12551" width="7.6640625" style="1" customWidth="1"/>
    <col min="12552" max="12552" width="10.6640625" style="1" customWidth="1"/>
    <col min="12553" max="12553" width="9.5546875" style="1" bestFit="1" customWidth="1"/>
    <col min="12554" max="12801" width="9.109375" style="1"/>
    <col min="12802" max="12802" width="6.33203125" style="1" customWidth="1"/>
    <col min="12803" max="12803" width="13.109375" style="1" customWidth="1"/>
    <col min="12804" max="12804" width="10.88671875" style="1" customWidth="1"/>
    <col min="12805" max="12805" width="13.109375" style="1" customWidth="1"/>
    <col min="12806" max="12806" width="12.6640625" style="1" customWidth="1"/>
    <col min="12807" max="12807" width="7.6640625" style="1" customWidth="1"/>
    <col min="12808" max="12808" width="10.6640625" style="1" customWidth="1"/>
    <col min="12809" max="12809" width="9.5546875" style="1" bestFit="1" customWidth="1"/>
    <col min="12810" max="13057" width="9.109375" style="1"/>
    <col min="13058" max="13058" width="6.33203125" style="1" customWidth="1"/>
    <col min="13059" max="13059" width="13.109375" style="1" customWidth="1"/>
    <col min="13060" max="13060" width="10.88671875" style="1" customWidth="1"/>
    <col min="13061" max="13061" width="13.109375" style="1" customWidth="1"/>
    <col min="13062" max="13062" width="12.6640625" style="1" customWidth="1"/>
    <col min="13063" max="13063" width="7.6640625" style="1" customWidth="1"/>
    <col min="13064" max="13064" width="10.6640625" style="1" customWidth="1"/>
    <col min="13065" max="13065" width="9.5546875" style="1" bestFit="1" customWidth="1"/>
    <col min="13066" max="13313" width="9.109375" style="1"/>
    <col min="13314" max="13314" width="6.33203125" style="1" customWidth="1"/>
    <col min="13315" max="13315" width="13.109375" style="1" customWidth="1"/>
    <col min="13316" max="13316" width="10.88671875" style="1" customWidth="1"/>
    <col min="13317" max="13317" width="13.109375" style="1" customWidth="1"/>
    <col min="13318" max="13318" width="12.6640625" style="1" customWidth="1"/>
    <col min="13319" max="13319" width="7.6640625" style="1" customWidth="1"/>
    <col min="13320" max="13320" width="10.6640625" style="1" customWidth="1"/>
    <col min="13321" max="13321" width="9.5546875" style="1" bestFit="1" customWidth="1"/>
    <col min="13322" max="13569" width="9.109375" style="1"/>
    <col min="13570" max="13570" width="6.33203125" style="1" customWidth="1"/>
    <col min="13571" max="13571" width="13.109375" style="1" customWidth="1"/>
    <col min="13572" max="13572" width="10.88671875" style="1" customWidth="1"/>
    <col min="13573" max="13573" width="13.109375" style="1" customWidth="1"/>
    <col min="13574" max="13574" width="12.6640625" style="1" customWidth="1"/>
    <col min="13575" max="13575" width="7.6640625" style="1" customWidth="1"/>
    <col min="13576" max="13576" width="10.6640625" style="1" customWidth="1"/>
    <col min="13577" max="13577" width="9.5546875" style="1" bestFit="1" customWidth="1"/>
    <col min="13578" max="13825" width="9.109375" style="1"/>
    <col min="13826" max="13826" width="6.33203125" style="1" customWidth="1"/>
    <col min="13827" max="13827" width="13.109375" style="1" customWidth="1"/>
    <col min="13828" max="13828" width="10.88671875" style="1" customWidth="1"/>
    <col min="13829" max="13829" width="13.109375" style="1" customWidth="1"/>
    <col min="13830" max="13830" width="12.6640625" style="1" customWidth="1"/>
    <col min="13831" max="13831" width="7.6640625" style="1" customWidth="1"/>
    <col min="13832" max="13832" width="10.6640625" style="1" customWidth="1"/>
    <col min="13833" max="13833" width="9.5546875" style="1" bestFit="1" customWidth="1"/>
    <col min="13834" max="14081" width="9.109375" style="1"/>
    <col min="14082" max="14082" width="6.33203125" style="1" customWidth="1"/>
    <col min="14083" max="14083" width="13.109375" style="1" customWidth="1"/>
    <col min="14084" max="14084" width="10.88671875" style="1" customWidth="1"/>
    <col min="14085" max="14085" width="13.109375" style="1" customWidth="1"/>
    <col min="14086" max="14086" width="12.6640625" style="1" customWidth="1"/>
    <col min="14087" max="14087" width="7.6640625" style="1" customWidth="1"/>
    <col min="14088" max="14088" width="10.6640625" style="1" customWidth="1"/>
    <col min="14089" max="14089" width="9.5546875" style="1" bestFit="1" customWidth="1"/>
    <col min="14090" max="14337" width="9.109375" style="1"/>
    <col min="14338" max="14338" width="6.33203125" style="1" customWidth="1"/>
    <col min="14339" max="14339" width="13.109375" style="1" customWidth="1"/>
    <col min="14340" max="14340" width="10.88671875" style="1" customWidth="1"/>
    <col min="14341" max="14341" width="13.109375" style="1" customWidth="1"/>
    <col min="14342" max="14342" width="12.6640625" style="1" customWidth="1"/>
    <col min="14343" max="14343" width="7.6640625" style="1" customWidth="1"/>
    <col min="14344" max="14344" width="10.6640625" style="1" customWidth="1"/>
    <col min="14345" max="14345" width="9.5546875" style="1" bestFit="1" customWidth="1"/>
    <col min="14346" max="14593" width="9.109375" style="1"/>
    <col min="14594" max="14594" width="6.33203125" style="1" customWidth="1"/>
    <col min="14595" max="14595" width="13.109375" style="1" customWidth="1"/>
    <col min="14596" max="14596" width="10.88671875" style="1" customWidth="1"/>
    <col min="14597" max="14597" width="13.109375" style="1" customWidth="1"/>
    <col min="14598" max="14598" width="12.6640625" style="1" customWidth="1"/>
    <col min="14599" max="14599" width="7.6640625" style="1" customWidth="1"/>
    <col min="14600" max="14600" width="10.6640625" style="1" customWidth="1"/>
    <col min="14601" max="14601" width="9.5546875" style="1" bestFit="1" customWidth="1"/>
    <col min="14602" max="14849" width="9.109375" style="1"/>
    <col min="14850" max="14850" width="6.33203125" style="1" customWidth="1"/>
    <col min="14851" max="14851" width="13.109375" style="1" customWidth="1"/>
    <col min="14852" max="14852" width="10.88671875" style="1" customWidth="1"/>
    <col min="14853" max="14853" width="13.109375" style="1" customWidth="1"/>
    <col min="14854" max="14854" width="12.6640625" style="1" customWidth="1"/>
    <col min="14855" max="14855" width="7.6640625" style="1" customWidth="1"/>
    <col min="14856" max="14856" width="10.6640625" style="1" customWidth="1"/>
    <col min="14857" max="14857" width="9.5546875" style="1" bestFit="1" customWidth="1"/>
    <col min="14858" max="15105" width="9.109375" style="1"/>
    <col min="15106" max="15106" width="6.33203125" style="1" customWidth="1"/>
    <col min="15107" max="15107" width="13.109375" style="1" customWidth="1"/>
    <col min="15108" max="15108" width="10.88671875" style="1" customWidth="1"/>
    <col min="15109" max="15109" width="13.109375" style="1" customWidth="1"/>
    <col min="15110" max="15110" width="12.6640625" style="1" customWidth="1"/>
    <col min="15111" max="15111" width="7.6640625" style="1" customWidth="1"/>
    <col min="15112" max="15112" width="10.6640625" style="1" customWidth="1"/>
    <col min="15113" max="15113" width="9.5546875" style="1" bestFit="1" customWidth="1"/>
    <col min="15114" max="15361" width="9.109375" style="1"/>
    <col min="15362" max="15362" width="6.33203125" style="1" customWidth="1"/>
    <col min="15363" max="15363" width="13.109375" style="1" customWidth="1"/>
    <col min="15364" max="15364" width="10.88671875" style="1" customWidth="1"/>
    <col min="15365" max="15365" width="13.109375" style="1" customWidth="1"/>
    <col min="15366" max="15366" width="12.6640625" style="1" customWidth="1"/>
    <col min="15367" max="15367" width="7.6640625" style="1" customWidth="1"/>
    <col min="15368" max="15368" width="10.6640625" style="1" customWidth="1"/>
    <col min="15369" max="15369" width="9.5546875" style="1" bestFit="1" customWidth="1"/>
    <col min="15370" max="15617" width="9.109375" style="1"/>
    <col min="15618" max="15618" width="6.33203125" style="1" customWidth="1"/>
    <col min="15619" max="15619" width="13.109375" style="1" customWidth="1"/>
    <col min="15620" max="15620" width="10.88671875" style="1" customWidth="1"/>
    <col min="15621" max="15621" width="13.109375" style="1" customWidth="1"/>
    <col min="15622" max="15622" width="12.6640625" style="1" customWidth="1"/>
    <col min="15623" max="15623" width="7.6640625" style="1" customWidth="1"/>
    <col min="15624" max="15624" width="10.6640625" style="1" customWidth="1"/>
    <col min="15625" max="15625" width="9.5546875" style="1" bestFit="1" customWidth="1"/>
    <col min="15626" max="15873" width="9.109375" style="1"/>
    <col min="15874" max="15874" width="6.33203125" style="1" customWidth="1"/>
    <col min="15875" max="15875" width="13.109375" style="1" customWidth="1"/>
    <col min="15876" max="15876" width="10.88671875" style="1" customWidth="1"/>
    <col min="15877" max="15877" width="13.109375" style="1" customWidth="1"/>
    <col min="15878" max="15878" width="12.6640625" style="1" customWidth="1"/>
    <col min="15879" max="15879" width="7.6640625" style="1" customWidth="1"/>
    <col min="15880" max="15880" width="10.6640625" style="1" customWidth="1"/>
    <col min="15881" max="15881" width="9.5546875" style="1" bestFit="1" customWidth="1"/>
    <col min="15882" max="16129" width="9.109375" style="1"/>
    <col min="16130" max="16130" width="6.33203125" style="1" customWidth="1"/>
    <col min="16131" max="16131" width="13.109375" style="1" customWidth="1"/>
    <col min="16132" max="16132" width="10.88671875" style="1" customWidth="1"/>
    <col min="16133" max="16133" width="13.109375" style="1" customWidth="1"/>
    <col min="16134" max="16134" width="12.6640625" style="1" customWidth="1"/>
    <col min="16135" max="16135" width="7.6640625" style="1" customWidth="1"/>
    <col min="16136" max="16136" width="10.6640625" style="1" customWidth="1"/>
    <col min="16137" max="16137" width="9.5546875" style="1" bestFit="1" customWidth="1"/>
    <col min="16138" max="16384" width="9.109375" style="1"/>
  </cols>
  <sheetData>
    <row r="1" spans="1:9" x14ac:dyDescent="0.25">
      <c r="A1" s="18" t="s">
        <v>118</v>
      </c>
    </row>
    <row r="2" spans="1:9" x14ac:dyDescent="0.25">
      <c r="A2" s="1" t="s">
        <v>0</v>
      </c>
    </row>
    <row r="3" spans="1:9" x14ac:dyDescent="0.25">
      <c r="A3" s="1" t="s">
        <v>1</v>
      </c>
    </row>
    <row r="4" spans="1:9" x14ac:dyDescent="0.25">
      <c r="A4" s="1" t="s">
        <v>119</v>
      </c>
      <c r="D4" s="1">
        <v>2</v>
      </c>
      <c r="E4" s="1" t="s">
        <v>2</v>
      </c>
    </row>
    <row r="5" spans="1:9" x14ac:dyDescent="0.25">
      <c r="A5" s="1" t="s">
        <v>3</v>
      </c>
    </row>
    <row r="6" spans="1:9" ht="15.6" x14ac:dyDescent="0.25">
      <c r="A6" s="1" t="s">
        <v>4</v>
      </c>
      <c r="C6" s="3">
        <f>30.048</f>
        <v>30.047999999999998</v>
      </c>
      <c r="D6" s="1" t="s">
        <v>86</v>
      </c>
    </row>
    <row r="7" spans="1:9" x14ac:dyDescent="0.25">
      <c r="A7" s="1" t="s">
        <v>5</v>
      </c>
      <c r="C7" s="4">
        <f>181*24</f>
        <v>4344</v>
      </c>
      <c r="D7" s="1" t="s">
        <v>6</v>
      </c>
      <c r="E7" s="4"/>
    </row>
    <row r="8" spans="1:9" ht="15.6" x14ac:dyDescent="0.25">
      <c r="A8" s="1" t="s">
        <v>4</v>
      </c>
      <c r="C8" s="5">
        <f>C6*1000/C7</f>
        <v>6.9171270718232041</v>
      </c>
      <c r="D8" s="1" t="s">
        <v>87</v>
      </c>
    </row>
    <row r="9" spans="1:9" ht="15.6" x14ac:dyDescent="0.25">
      <c r="A9" s="1" t="s">
        <v>4</v>
      </c>
      <c r="C9" s="6">
        <f>C8/3600</f>
        <v>1.9214241866175566E-3</v>
      </c>
      <c r="D9" s="1" t="s">
        <v>88</v>
      </c>
    </row>
    <row r="10" spans="1:9" x14ac:dyDescent="0.25">
      <c r="A10" s="1" t="s">
        <v>7</v>
      </c>
      <c r="F10" s="1">
        <v>0</v>
      </c>
    </row>
    <row r="11" spans="1:9" ht="15.6" x14ac:dyDescent="0.25">
      <c r="A11" s="1" t="s">
        <v>8</v>
      </c>
      <c r="E11" s="19">
        <f>F42</f>
        <v>33.659884451142929</v>
      </c>
      <c r="F11" s="1" t="s">
        <v>89</v>
      </c>
    </row>
    <row r="13" spans="1:9" x14ac:dyDescent="0.25">
      <c r="A13" s="1" t="s">
        <v>9</v>
      </c>
    </row>
    <row r="14" spans="1:9" ht="15.6" x14ac:dyDescent="0.25">
      <c r="B14" s="1" t="s">
        <v>10</v>
      </c>
      <c r="H14" s="8" t="s">
        <v>90</v>
      </c>
      <c r="I14" s="2">
        <f>C6*(1-F10/100)</f>
        <v>30.047999999999998</v>
      </c>
    </row>
    <row r="15" spans="1:9" ht="15.6" x14ac:dyDescent="0.25">
      <c r="H15" s="1" t="s">
        <v>91</v>
      </c>
      <c r="I15" s="6">
        <f>C9*(1-F10/100)</f>
        <v>1.9214241866175566E-3</v>
      </c>
    </row>
    <row r="16" spans="1:9" x14ac:dyDescent="0.25">
      <c r="A16" s="1" t="s">
        <v>11</v>
      </c>
      <c r="H16" s="1" t="s">
        <v>12</v>
      </c>
      <c r="I16" s="4">
        <v>115</v>
      </c>
    </row>
    <row r="17" spans="1:9" x14ac:dyDescent="0.25">
      <c r="A17" s="1" t="s">
        <v>13</v>
      </c>
      <c r="H17" s="1" t="s">
        <v>14</v>
      </c>
      <c r="I17" s="4">
        <f>I16/0.75</f>
        <v>153.33333333333334</v>
      </c>
    </row>
    <row r="18" spans="1:9" x14ac:dyDescent="0.25">
      <c r="A18" s="1" t="s">
        <v>15</v>
      </c>
    </row>
    <row r="19" spans="1:9" x14ac:dyDescent="0.25">
      <c r="A19" s="1" t="s">
        <v>16</v>
      </c>
    </row>
    <row r="20" spans="1:9" x14ac:dyDescent="0.25">
      <c r="A20" s="1" t="s">
        <v>17</v>
      </c>
    </row>
    <row r="22" spans="1:9" x14ac:dyDescent="0.25">
      <c r="A22" s="40" t="s">
        <v>18</v>
      </c>
      <c r="B22" s="40"/>
      <c r="C22" s="40"/>
      <c r="D22" s="40"/>
      <c r="E22" s="40"/>
      <c r="F22" s="40"/>
      <c r="G22" s="40"/>
      <c r="H22" s="40"/>
      <c r="I22" s="40"/>
    </row>
    <row r="23" spans="1:9" x14ac:dyDescent="0.25">
      <c r="A23" s="1" t="s">
        <v>19</v>
      </c>
    </row>
    <row r="25" spans="1:9" ht="16.8" x14ac:dyDescent="0.35">
      <c r="A25" s="1" t="s">
        <v>92</v>
      </c>
    </row>
    <row r="26" spans="1:9" ht="16.8" x14ac:dyDescent="0.35">
      <c r="A26" s="1" t="s">
        <v>93</v>
      </c>
    </row>
    <row r="27" spans="1:9" ht="15.6" x14ac:dyDescent="0.25">
      <c r="A27" s="1" t="s">
        <v>94</v>
      </c>
    </row>
    <row r="28" spans="1:9" x14ac:dyDescent="0.25">
      <c r="A28" s="1" t="s">
        <v>20</v>
      </c>
    </row>
    <row r="29" spans="1:9" x14ac:dyDescent="0.25">
      <c r="A29" s="1" t="s">
        <v>21</v>
      </c>
    </row>
    <row r="30" spans="1:9" ht="15.6" x14ac:dyDescent="0.25">
      <c r="A30" s="1" t="s">
        <v>95</v>
      </c>
      <c r="H30" s="1" t="s">
        <v>96</v>
      </c>
      <c r="I30" s="9">
        <f>0.0889*(F35+0.375*F36)+0.265*F37-0.0333*F38</f>
        <v>13.448183</v>
      </c>
    </row>
    <row r="31" spans="1:9" ht="16.8" x14ac:dyDescent="0.35">
      <c r="A31" s="1" t="s">
        <v>97</v>
      </c>
      <c r="H31" s="1" t="s">
        <v>98</v>
      </c>
      <c r="I31" s="9">
        <f>0.111*F37+0.0124*F40+0.0161*I30</f>
        <v>3.0541197463</v>
      </c>
    </row>
    <row r="32" spans="1:9" ht="16.8" x14ac:dyDescent="0.35">
      <c r="A32" s="1" t="s">
        <v>99</v>
      </c>
      <c r="H32" s="1" t="s">
        <v>100</v>
      </c>
      <c r="I32" s="9">
        <f>1.866*(F35+0.375*F36)/100+0.79*I30+0.8*F39/100+I31</f>
        <v>15.078990516299999</v>
      </c>
    </row>
    <row r="34" spans="1:9" x14ac:dyDescent="0.25">
      <c r="A34" s="1" t="s">
        <v>22</v>
      </c>
      <c r="F34" s="10" t="s">
        <v>23</v>
      </c>
      <c r="I34" s="11"/>
    </row>
    <row r="35" spans="1:9" x14ac:dyDescent="0.25">
      <c r="A35" s="1" t="s">
        <v>24</v>
      </c>
      <c r="F35" s="1">
        <f>69.5+4.02+0.09+1.46</f>
        <v>75.069999999999993</v>
      </c>
    </row>
    <row r="36" spans="1:9" x14ac:dyDescent="0.25">
      <c r="A36" s="1" t="s">
        <v>25</v>
      </c>
      <c r="F36" s="1">
        <v>0</v>
      </c>
    </row>
    <row r="37" spans="1:9" x14ac:dyDescent="0.25">
      <c r="A37" s="1" t="s">
        <v>26</v>
      </c>
      <c r="F37" s="1">
        <f>23.16+1.08+0.034+1.29</f>
        <v>25.564</v>
      </c>
    </row>
    <row r="38" spans="1:9" x14ac:dyDescent="0.25">
      <c r="A38" s="1" t="s">
        <v>27</v>
      </c>
      <c r="F38" s="1">
        <v>0</v>
      </c>
    </row>
    <row r="39" spans="1:9" x14ac:dyDescent="0.25">
      <c r="A39" s="1" t="s">
        <v>28</v>
      </c>
      <c r="F39" s="1">
        <v>0</v>
      </c>
    </row>
    <row r="40" spans="1:9" x14ac:dyDescent="0.25">
      <c r="A40" s="1" t="s">
        <v>29</v>
      </c>
      <c r="F40" s="1">
        <v>0</v>
      </c>
    </row>
    <row r="41" spans="1:9" x14ac:dyDescent="0.25">
      <c r="A41" s="1" t="s">
        <v>81</v>
      </c>
      <c r="F41" s="1">
        <v>1.08</v>
      </c>
    </row>
    <row r="42" spans="1:9" x14ac:dyDescent="0.25">
      <c r="A42" s="1" t="s">
        <v>30</v>
      </c>
      <c r="F42" s="7">
        <f>8040/238.86</f>
        <v>33.659884451142929</v>
      </c>
    </row>
    <row r="43" spans="1:9" x14ac:dyDescent="0.25">
      <c r="A43" s="1" t="s">
        <v>31</v>
      </c>
      <c r="F43" s="1">
        <v>0</v>
      </c>
    </row>
    <row r="44" spans="1:9" x14ac:dyDescent="0.25">
      <c r="C44" s="1" t="s">
        <v>82</v>
      </c>
      <c r="D44" s="9">
        <f>I32+(F41-1)*I30-I31</f>
        <v>13.100725409999999</v>
      </c>
      <c r="E44" s="1" t="s">
        <v>83</v>
      </c>
    </row>
    <row r="45" spans="1:9" x14ac:dyDescent="0.25">
      <c r="D45" s="9"/>
    </row>
    <row r="46" spans="1:9" x14ac:dyDescent="0.25">
      <c r="A46" s="40" t="s">
        <v>32</v>
      </c>
      <c r="B46" s="40"/>
      <c r="C46" s="40"/>
      <c r="D46" s="40"/>
      <c r="E46" s="40"/>
      <c r="F46" s="40"/>
      <c r="G46" s="40"/>
      <c r="H46" s="40"/>
      <c r="I46" s="40"/>
    </row>
    <row r="47" spans="1:9" x14ac:dyDescent="0.25">
      <c r="A47" s="40" t="s">
        <v>120</v>
      </c>
      <c r="B47" s="40"/>
      <c r="C47" s="40"/>
      <c r="D47" s="40"/>
      <c r="E47" s="40"/>
      <c r="F47" s="40"/>
      <c r="G47" s="40"/>
      <c r="H47" s="40"/>
      <c r="I47" s="40"/>
    </row>
    <row r="48" spans="1:9" x14ac:dyDescent="0.25">
      <c r="A48" s="1" t="s">
        <v>33</v>
      </c>
    </row>
    <row r="49" spans="1:9" x14ac:dyDescent="0.25">
      <c r="A49" s="1" t="s">
        <v>34</v>
      </c>
    </row>
    <row r="51" spans="1:9" x14ac:dyDescent="0.25">
      <c r="A51" s="1" t="s">
        <v>35</v>
      </c>
    </row>
    <row r="52" spans="1:9" ht="15.6" x14ac:dyDescent="0.25">
      <c r="A52" s="1" t="s">
        <v>101</v>
      </c>
    </row>
    <row r="53" spans="1:9" x14ac:dyDescent="0.25">
      <c r="A53" s="1" t="s">
        <v>36</v>
      </c>
    </row>
    <row r="54" spans="1:9" x14ac:dyDescent="0.25">
      <c r="A54" s="1" t="s">
        <v>30</v>
      </c>
      <c r="H54" s="1" t="s">
        <v>37</v>
      </c>
      <c r="I54" s="7">
        <f>F42</f>
        <v>33.659884451142929</v>
      </c>
    </row>
    <row r="55" spans="1:9" x14ac:dyDescent="0.25">
      <c r="A55" s="1" t="s">
        <v>38</v>
      </c>
      <c r="H55" s="11" t="s">
        <v>39</v>
      </c>
      <c r="I55" s="7">
        <f>I56*I54*1000/(I57*F57)</f>
        <v>21.558305367726081</v>
      </c>
    </row>
    <row r="56" spans="1:9" x14ac:dyDescent="0.25">
      <c r="A56" s="1" t="s">
        <v>40</v>
      </c>
      <c r="I56" s="9">
        <f>I15</f>
        <v>1.9214241866175566E-3</v>
      </c>
    </row>
    <row r="57" spans="1:9" x14ac:dyDescent="0.25">
      <c r="A57" s="1" t="s">
        <v>41</v>
      </c>
      <c r="E57" s="1" t="s">
        <v>42</v>
      </c>
      <c r="F57" s="1">
        <v>1</v>
      </c>
      <c r="H57" s="11" t="s">
        <v>43</v>
      </c>
      <c r="I57" s="1">
        <v>3</v>
      </c>
    </row>
    <row r="58" spans="1:9" x14ac:dyDescent="0.25">
      <c r="A58" s="1" t="s">
        <v>44</v>
      </c>
      <c r="H58" s="11" t="s">
        <v>45</v>
      </c>
      <c r="I58" s="1">
        <v>1</v>
      </c>
    </row>
    <row r="59" spans="1:9" x14ac:dyDescent="0.25">
      <c r="A59" s="1" t="s">
        <v>46</v>
      </c>
      <c r="H59" s="11" t="s">
        <v>47</v>
      </c>
      <c r="I59" s="1">
        <v>1.5</v>
      </c>
    </row>
    <row r="60" spans="1:9" x14ac:dyDescent="0.25">
      <c r="A60" s="1" t="s">
        <v>48</v>
      </c>
      <c r="I60" s="7">
        <v>2.1</v>
      </c>
    </row>
    <row r="62" spans="1:9" ht="15.6" x14ac:dyDescent="0.25">
      <c r="C62" s="1" t="s">
        <v>49</v>
      </c>
      <c r="D62" s="12">
        <f>0.001*(0.059+0.079*0.001*I55)*I58*I59*I60/2.7^(3.8*(1.05-1))</f>
        <v>1.5832968681393024E-4</v>
      </c>
      <c r="E62" s="1" t="s">
        <v>102</v>
      </c>
    </row>
    <row r="63" spans="1:9" x14ac:dyDescent="0.25">
      <c r="A63" s="1" t="s">
        <v>50</v>
      </c>
    </row>
    <row r="65" spans="1:9" x14ac:dyDescent="0.25">
      <c r="B65" s="1" t="s">
        <v>51</v>
      </c>
      <c r="C65" s="13">
        <f>D62*D44*I15/1000</f>
        <v>3.9854828982552923E-9</v>
      </c>
      <c r="D65" s="14" t="s">
        <v>52</v>
      </c>
      <c r="E65" s="14">
        <f>D62*D44*I14/1000000</f>
        <v>6.2326575756075565E-8</v>
      </c>
      <c r="F65" s="1" t="s">
        <v>53</v>
      </c>
    </row>
    <row r="66" spans="1:9" x14ac:dyDescent="0.25">
      <c r="C66" s="13"/>
      <c r="D66" s="14"/>
      <c r="E66" s="14"/>
    </row>
    <row r="67" spans="1:9" x14ac:dyDescent="0.25">
      <c r="A67" s="40" t="s">
        <v>121</v>
      </c>
      <c r="B67" s="40"/>
      <c r="C67" s="40"/>
      <c r="D67" s="40"/>
      <c r="E67" s="40"/>
      <c r="F67" s="40"/>
      <c r="G67" s="40"/>
      <c r="H67" s="40"/>
      <c r="I67" s="40"/>
    </row>
    <row r="68" spans="1:9" x14ac:dyDescent="0.25">
      <c r="A68" s="1" t="s">
        <v>54</v>
      </c>
    </row>
    <row r="69" spans="1:9" x14ac:dyDescent="0.25">
      <c r="A69" s="1" t="s">
        <v>55</v>
      </c>
    </row>
    <row r="70" spans="1:9" ht="15.6" x14ac:dyDescent="0.35">
      <c r="B70" s="1" t="s">
        <v>103</v>
      </c>
    </row>
    <row r="71" spans="1:9" x14ac:dyDescent="0.25">
      <c r="A71" s="1" t="s">
        <v>56</v>
      </c>
    </row>
    <row r="73" spans="1:9" ht="15.6" x14ac:dyDescent="0.25">
      <c r="B73" s="1" t="s">
        <v>10</v>
      </c>
      <c r="H73" s="8" t="s">
        <v>104</v>
      </c>
      <c r="I73" s="7">
        <f>I14</f>
        <v>30.047999999999998</v>
      </c>
    </row>
    <row r="74" spans="1:9" ht="15.6" x14ac:dyDescent="0.25">
      <c r="H74" s="1" t="s">
        <v>105</v>
      </c>
      <c r="I74" s="9">
        <f>I15</f>
        <v>1.9214241866175566E-3</v>
      </c>
    </row>
    <row r="75" spans="1:9" x14ac:dyDescent="0.25">
      <c r="A75" s="1" t="s">
        <v>57</v>
      </c>
      <c r="H75" s="1" t="s">
        <v>37</v>
      </c>
      <c r="I75" s="7">
        <f>E11</f>
        <v>33.659884451142929</v>
      </c>
    </row>
    <row r="76" spans="1:9" ht="15.6" x14ac:dyDescent="0.35">
      <c r="A76" s="1" t="s">
        <v>106</v>
      </c>
    </row>
    <row r="77" spans="1:9" ht="16.8" x14ac:dyDescent="0.35">
      <c r="A77" s="1" t="s">
        <v>107</v>
      </c>
      <c r="H77" s="11" t="s">
        <v>108</v>
      </c>
      <c r="I77" s="15">
        <f>0.013*(I79^0.5)+0.03</f>
        <v>3.330606424944179E-2</v>
      </c>
    </row>
    <row r="78" spans="1:9" ht="15.6" x14ac:dyDescent="0.25">
      <c r="A78" s="1" t="s">
        <v>109</v>
      </c>
      <c r="H78" s="11"/>
    </row>
    <row r="79" spans="1:9" x14ac:dyDescent="0.25">
      <c r="A79" s="1" t="s">
        <v>58</v>
      </c>
      <c r="H79" s="11" t="s">
        <v>59</v>
      </c>
      <c r="I79" s="15">
        <f>I15*E11</f>
        <v>6.4674916103178243E-2</v>
      </c>
    </row>
    <row r="80" spans="1:9" x14ac:dyDescent="0.25">
      <c r="A80" s="1" t="s">
        <v>60</v>
      </c>
      <c r="I80" s="1">
        <f>1+0.002*(22-30)</f>
        <v>0.98399999999999999</v>
      </c>
    </row>
    <row r="81" spans="1:9" x14ac:dyDescent="0.25">
      <c r="A81" s="1" t="s">
        <v>61</v>
      </c>
      <c r="I81" s="1">
        <v>1.2250000000000001</v>
      </c>
    </row>
    <row r="82" spans="1:9" x14ac:dyDescent="0.25">
      <c r="A82" s="1" t="s">
        <v>62</v>
      </c>
      <c r="I82" s="1">
        <v>0</v>
      </c>
    </row>
    <row r="83" spans="1:9" ht="15" customHeight="1" x14ac:dyDescent="0.25">
      <c r="A83" s="16" t="s">
        <v>63</v>
      </c>
      <c r="B83" s="16"/>
      <c r="C83" s="16"/>
      <c r="D83" s="16"/>
      <c r="E83" s="16"/>
      <c r="F83" s="16"/>
      <c r="G83" s="16"/>
      <c r="H83" s="16"/>
      <c r="I83" s="16">
        <v>0</v>
      </c>
    </row>
    <row r="84" spans="1:9" x14ac:dyDescent="0.25">
      <c r="A84" s="1" t="s">
        <v>64</v>
      </c>
      <c r="I84" s="1">
        <v>1</v>
      </c>
    </row>
    <row r="85" spans="1:9" ht="15" customHeight="1" x14ac:dyDescent="0.25">
      <c r="A85" s="1" t="s">
        <v>65</v>
      </c>
    </row>
    <row r="86" spans="1:9" x14ac:dyDescent="0.25">
      <c r="A86" s="1" t="s">
        <v>66</v>
      </c>
    </row>
    <row r="87" spans="1:9" ht="15.6" x14ac:dyDescent="0.35">
      <c r="B87" s="1" t="s">
        <v>110</v>
      </c>
    </row>
    <row r="88" spans="1:9" ht="15.6" x14ac:dyDescent="0.35">
      <c r="B88" s="1" t="s">
        <v>111</v>
      </c>
    </row>
    <row r="89" spans="1:9" ht="15.6" x14ac:dyDescent="0.35">
      <c r="A89" s="1" t="s">
        <v>112</v>
      </c>
    </row>
    <row r="90" spans="1:9" x14ac:dyDescent="0.25">
      <c r="A90" s="1" t="s">
        <v>67</v>
      </c>
    </row>
    <row r="91" spans="1:9" x14ac:dyDescent="0.25">
      <c r="A91" s="1" t="s">
        <v>68</v>
      </c>
    </row>
    <row r="92" spans="1:9" ht="15.6" x14ac:dyDescent="0.35">
      <c r="B92" s="1" t="s">
        <v>113</v>
      </c>
      <c r="E92" s="1" t="s">
        <v>114</v>
      </c>
    </row>
    <row r="93" spans="1:9" ht="15.6" x14ac:dyDescent="0.35">
      <c r="B93" s="1" t="s">
        <v>115</v>
      </c>
      <c r="C93" s="9">
        <f>I74*I75*I77*I80*I81*I84*(1-I82)*(1-I83)</f>
        <v>2.5965122545913771E-3</v>
      </c>
      <c r="D93" s="1" t="s">
        <v>52</v>
      </c>
      <c r="E93" s="15">
        <f>I73*I75*I77*I80*(1-I82)*(1-I83)*I81*0.001</f>
        <v>4.0605297242201792E-2</v>
      </c>
      <c r="F93" s="1" t="s">
        <v>53</v>
      </c>
    </row>
    <row r="94" spans="1:9" ht="15.6" x14ac:dyDescent="0.35">
      <c r="A94" s="16"/>
      <c r="B94" s="16" t="s">
        <v>116</v>
      </c>
      <c r="C94" s="17">
        <f>C93*0.13</f>
        <v>3.3754659309687905E-4</v>
      </c>
      <c r="D94" s="16" t="s">
        <v>52</v>
      </c>
      <c r="E94" s="17">
        <f>E93*0.13</f>
        <v>5.2786886414862332E-3</v>
      </c>
      <c r="F94" s="16" t="s">
        <v>53</v>
      </c>
    </row>
    <row r="95" spans="1:9" ht="15.6" x14ac:dyDescent="0.35">
      <c r="A95" s="16"/>
      <c r="B95" s="16" t="s">
        <v>117</v>
      </c>
      <c r="C95" s="17">
        <f>C93*0.8</f>
        <v>2.0772098036731016E-3</v>
      </c>
      <c r="D95" s="16" t="s">
        <v>52</v>
      </c>
      <c r="E95" s="17">
        <f>E93*0.8</f>
        <v>3.2484237793761438E-2</v>
      </c>
      <c r="F95" s="16" t="s">
        <v>53</v>
      </c>
    </row>
    <row r="96" spans="1:9" x14ac:dyDescent="0.25">
      <c r="A96" s="16"/>
      <c r="B96" s="16"/>
      <c r="C96" s="17"/>
      <c r="D96" s="16"/>
      <c r="E96" s="17"/>
      <c r="F96" s="16"/>
    </row>
    <row r="97" spans="1:9" s="2" customFormat="1" x14ac:dyDescent="0.25">
      <c r="A97" s="40" t="s">
        <v>122</v>
      </c>
      <c r="B97" s="40"/>
      <c r="C97" s="40"/>
      <c r="D97" s="40"/>
      <c r="E97" s="40"/>
      <c r="F97" s="40"/>
      <c r="G97" s="40"/>
      <c r="H97" s="40"/>
      <c r="I97" s="40"/>
    </row>
    <row r="98" spans="1:9" x14ac:dyDescent="0.25">
      <c r="A98" s="1" t="s">
        <v>69</v>
      </c>
    </row>
    <row r="99" spans="1:9" x14ac:dyDescent="0.25">
      <c r="A99" s="1" t="s">
        <v>84</v>
      </c>
    </row>
    <row r="100" spans="1:9" x14ac:dyDescent="0.25">
      <c r="A100" s="1" t="s">
        <v>36</v>
      </c>
    </row>
    <row r="101" spans="1:9" x14ac:dyDescent="0.25">
      <c r="A101" s="1" t="s">
        <v>70</v>
      </c>
    </row>
    <row r="102" spans="1:9" x14ac:dyDescent="0.25">
      <c r="A102" s="1" t="s">
        <v>71</v>
      </c>
    </row>
    <row r="103" spans="1:9" x14ac:dyDescent="0.25">
      <c r="A103" s="1" t="s">
        <v>72</v>
      </c>
      <c r="I103" s="1">
        <v>0.2</v>
      </c>
    </row>
    <row r="104" spans="1:9" x14ac:dyDescent="0.25">
      <c r="A104" s="1" t="s">
        <v>73</v>
      </c>
    </row>
    <row r="105" spans="1:9" x14ac:dyDescent="0.25">
      <c r="A105" s="1" t="s">
        <v>74</v>
      </c>
    </row>
    <row r="106" spans="1:9" x14ac:dyDescent="0.25">
      <c r="A106" s="1" t="s">
        <v>75</v>
      </c>
    </row>
    <row r="107" spans="1:9" x14ac:dyDescent="0.25">
      <c r="A107" s="1" t="s">
        <v>76</v>
      </c>
      <c r="H107" s="1" t="s">
        <v>77</v>
      </c>
      <c r="I107" s="1">
        <v>0.5</v>
      </c>
    </row>
    <row r="108" spans="1:9" x14ac:dyDescent="0.25">
      <c r="A108" s="1" t="s">
        <v>78</v>
      </c>
      <c r="I108" s="7">
        <f>E11</f>
        <v>33.659884451142929</v>
      </c>
    </row>
    <row r="109" spans="1:9" x14ac:dyDescent="0.25">
      <c r="A109" s="1" t="s">
        <v>85</v>
      </c>
      <c r="I109" s="1">
        <f>F10</f>
        <v>0</v>
      </c>
    </row>
    <row r="110" spans="1:9" x14ac:dyDescent="0.25">
      <c r="B110" s="1" t="s">
        <v>79</v>
      </c>
      <c r="C110" s="9">
        <f>C9*I103*I107*I108*(1-(I109/100))</f>
        <v>6.4674916103178246E-3</v>
      </c>
      <c r="D110" s="1" t="s">
        <v>52</v>
      </c>
      <c r="E110" s="9">
        <f>C6*0.001*I103*I107*I108*(1-(I109/100))*0.001</f>
        <v>1.0114122079879429E-4</v>
      </c>
      <c r="F110" s="1" t="s">
        <v>53</v>
      </c>
    </row>
    <row r="111" spans="1:9" x14ac:dyDescent="0.25">
      <c r="A111" s="1" t="s">
        <v>80</v>
      </c>
    </row>
    <row r="112" spans="1:9" x14ac:dyDescent="0.25">
      <c r="A112" s="39" t="s">
        <v>123</v>
      </c>
      <c r="B112" s="39"/>
      <c r="C112" s="39" t="s">
        <v>124</v>
      </c>
      <c r="D112" s="39"/>
      <c r="E112" s="39" t="s">
        <v>125</v>
      </c>
      <c r="F112" s="39"/>
    </row>
    <row r="113" spans="1:6" x14ac:dyDescent="0.25">
      <c r="A113" s="41" t="s">
        <v>126</v>
      </c>
      <c r="B113" s="41"/>
      <c r="C113" s="42">
        <f>C95</f>
        <v>2.0772098036731016E-3</v>
      </c>
      <c r="D113" s="42"/>
      <c r="E113" s="42">
        <f>E95</f>
        <v>3.2484237793761438E-2</v>
      </c>
      <c r="F113" s="42"/>
    </row>
    <row r="114" spans="1:6" x14ac:dyDescent="0.25">
      <c r="A114" s="41" t="s">
        <v>127</v>
      </c>
      <c r="B114" s="41"/>
      <c r="C114" s="42">
        <f>C94</f>
        <v>3.3754659309687905E-4</v>
      </c>
      <c r="D114" s="42"/>
      <c r="E114" s="42">
        <f>E94</f>
        <v>5.2786886414862332E-3</v>
      </c>
      <c r="F114" s="42"/>
    </row>
    <row r="115" spans="1:6" x14ac:dyDescent="0.25">
      <c r="A115" s="41" t="s">
        <v>128</v>
      </c>
      <c r="B115" s="41"/>
      <c r="C115" s="42">
        <f>C110</f>
        <v>6.4674916103178246E-3</v>
      </c>
      <c r="D115" s="42"/>
      <c r="E115" s="42">
        <f>E110</f>
        <v>1.0114122079879429E-4</v>
      </c>
      <c r="F115" s="42"/>
    </row>
    <row r="116" spans="1:6" ht="14.4" customHeight="1" x14ac:dyDescent="0.25">
      <c r="A116" s="41" t="s">
        <v>129</v>
      </c>
      <c r="B116" s="41"/>
      <c r="C116" s="51">
        <f>C65</f>
        <v>3.9854828982552923E-9</v>
      </c>
      <c r="D116" s="51"/>
      <c r="E116" s="43">
        <f>E65</f>
        <v>6.2326575756075565E-8</v>
      </c>
      <c r="F116" s="43"/>
    </row>
  </sheetData>
  <mergeCells count="20">
    <mergeCell ref="A113:B113"/>
    <mergeCell ref="A114:B114"/>
    <mergeCell ref="A115:B115"/>
    <mergeCell ref="A116:B116"/>
    <mergeCell ref="E113:F113"/>
    <mergeCell ref="E114:F114"/>
    <mergeCell ref="E115:F115"/>
    <mergeCell ref="E116:F116"/>
    <mergeCell ref="C113:D113"/>
    <mergeCell ref="C114:D114"/>
    <mergeCell ref="C115:D115"/>
    <mergeCell ref="C116:D116"/>
    <mergeCell ref="C112:D112"/>
    <mergeCell ref="E112:F112"/>
    <mergeCell ref="A112:B112"/>
    <mergeCell ref="A22:I22"/>
    <mergeCell ref="A46:I46"/>
    <mergeCell ref="A47:I47"/>
    <mergeCell ref="A67:I67"/>
    <mergeCell ref="A97:I97"/>
  </mergeCells>
  <pageMargins left="0.7" right="0.7" top="0.75" bottom="0.75" header="0.3" footer="0.3"/>
  <pageSetup paperSize="9"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view="pageBreakPreview" topLeftCell="A34" zoomScaleNormal="100" zoomScaleSheetLayoutView="100" workbookViewId="0">
      <selection activeCell="F49" sqref="F49"/>
    </sheetView>
  </sheetViews>
  <sheetFormatPr defaultRowHeight="14.4" x14ac:dyDescent="0.3"/>
  <cols>
    <col min="3" max="3" width="9" bestFit="1" customWidth="1"/>
    <col min="4" max="4" width="12.5546875" bestFit="1" customWidth="1"/>
    <col min="5" max="5" width="9" bestFit="1" customWidth="1"/>
    <col min="6" max="6" width="13.5546875" bestFit="1" customWidth="1"/>
    <col min="7" max="7" width="9.44140625" bestFit="1" customWidth="1"/>
    <col min="8" max="8" width="9" bestFit="1" customWidth="1"/>
    <col min="9" max="9" width="5.5546875" customWidth="1"/>
  </cols>
  <sheetData>
    <row r="1" spans="1:9" x14ac:dyDescent="0.3">
      <c r="A1" s="20" t="s">
        <v>130</v>
      </c>
      <c r="B1" s="21"/>
      <c r="C1" s="22"/>
      <c r="D1" s="21"/>
      <c r="E1" s="21"/>
      <c r="F1" s="21"/>
      <c r="G1" s="21"/>
      <c r="H1" s="21"/>
      <c r="I1" s="21"/>
    </row>
    <row r="2" spans="1:9" x14ac:dyDescent="0.3">
      <c r="A2" s="21"/>
      <c r="B2" s="21" t="s">
        <v>131</v>
      </c>
      <c r="C2" s="21"/>
      <c r="D2" s="21"/>
      <c r="E2" s="21"/>
      <c r="F2" s="21"/>
      <c r="G2" s="21"/>
      <c r="H2" s="21"/>
      <c r="I2" s="21"/>
    </row>
    <row r="3" spans="1:9" x14ac:dyDescent="0.3">
      <c r="A3" s="21" t="s">
        <v>132</v>
      </c>
      <c r="B3" s="21"/>
      <c r="C3" s="21"/>
      <c r="D3" s="21"/>
      <c r="E3" s="21"/>
      <c r="F3" s="21"/>
      <c r="G3" s="21"/>
      <c r="H3" s="21"/>
      <c r="I3" s="21"/>
    </row>
    <row r="4" spans="1:9" x14ac:dyDescent="0.3">
      <c r="A4" s="21"/>
      <c r="B4" s="21" t="s">
        <v>133</v>
      </c>
      <c r="C4" s="21"/>
      <c r="D4" s="21"/>
      <c r="E4" s="21"/>
      <c r="F4" s="21"/>
      <c r="G4" s="21"/>
      <c r="H4" s="21"/>
      <c r="I4" s="21"/>
    </row>
    <row r="5" spans="1:9" x14ac:dyDescent="0.3">
      <c r="A5" s="21"/>
      <c r="B5" s="21"/>
      <c r="C5" s="21" t="s">
        <v>134</v>
      </c>
      <c r="D5" s="21">
        <v>32</v>
      </c>
      <c r="E5" s="21" t="s">
        <v>135</v>
      </c>
      <c r="F5" s="21" t="s">
        <v>136</v>
      </c>
      <c r="G5" s="21">
        <v>6</v>
      </c>
      <c r="H5" s="21" t="s">
        <v>137</v>
      </c>
      <c r="I5" s="21"/>
    </row>
    <row r="6" spans="1:9" x14ac:dyDescent="0.3">
      <c r="A6" s="21"/>
      <c r="B6" s="21" t="s">
        <v>138</v>
      </c>
      <c r="C6" s="21"/>
      <c r="D6" s="21"/>
      <c r="E6" s="21"/>
      <c r="F6" s="21"/>
      <c r="G6" s="21"/>
      <c r="H6" s="21"/>
      <c r="I6" s="21"/>
    </row>
    <row r="7" spans="1:9" x14ac:dyDescent="0.3">
      <c r="A7" s="21" t="s">
        <v>139</v>
      </c>
      <c r="B7" s="21"/>
      <c r="C7" s="21"/>
      <c r="D7" s="21"/>
      <c r="E7" s="21"/>
      <c r="F7" s="21"/>
      <c r="G7" s="21"/>
      <c r="H7" s="21"/>
      <c r="I7" s="21"/>
    </row>
    <row r="8" spans="1:9" x14ac:dyDescent="0.3">
      <c r="A8" s="21"/>
      <c r="B8" s="21" t="s">
        <v>140</v>
      </c>
      <c r="C8" s="21"/>
      <c r="D8" s="21"/>
      <c r="E8" s="21"/>
      <c r="F8" s="21"/>
      <c r="G8" s="21"/>
      <c r="H8" s="21"/>
      <c r="I8" s="21"/>
    </row>
    <row r="9" spans="1:9" x14ac:dyDescent="0.3">
      <c r="A9" s="21"/>
      <c r="B9" s="21"/>
      <c r="C9" s="21"/>
      <c r="D9" s="21"/>
      <c r="E9" s="21"/>
      <c r="F9" s="21"/>
      <c r="G9" s="21"/>
      <c r="H9" s="21"/>
      <c r="I9" s="21"/>
    </row>
    <row r="10" spans="1:9" x14ac:dyDescent="0.3">
      <c r="A10" s="21"/>
      <c r="B10" s="21" t="s">
        <v>141</v>
      </c>
      <c r="C10" s="21"/>
      <c r="D10" s="21"/>
      <c r="E10" s="21"/>
      <c r="F10" s="21"/>
      <c r="G10" s="21"/>
      <c r="H10" s="21"/>
      <c r="I10" s="21"/>
    </row>
    <row r="11" spans="1:9" x14ac:dyDescent="0.3">
      <c r="A11" s="21" t="s">
        <v>142</v>
      </c>
      <c r="B11" s="21"/>
      <c r="C11" s="21"/>
      <c r="D11" s="21"/>
      <c r="E11" s="21"/>
      <c r="F11" s="21"/>
      <c r="G11" s="21"/>
      <c r="H11" s="21"/>
      <c r="I11" s="21"/>
    </row>
    <row r="12" spans="1:9" x14ac:dyDescent="0.3">
      <c r="A12" s="21" t="s">
        <v>143</v>
      </c>
      <c r="B12" s="21"/>
      <c r="C12" s="21"/>
      <c r="D12" s="21"/>
      <c r="E12" s="21"/>
      <c r="F12" s="21"/>
      <c r="G12" s="21"/>
      <c r="H12" s="21"/>
      <c r="I12" s="21"/>
    </row>
    <row r="13" spans="1:9" x14ac:dyDescent="0.3">
      <c r="A13" s="21"/>
      <c r="B13" s="21" t="s">
        <v>144</v>
      </c>
      <c r="C13" s="21"/>
      <c r="D13" s="21"/>
      <c r="E13" s="21"/>
      <c r="F13" s="21"/>
      <c r="G13" s="21"/>
      <c r="H13" s="21"/>
      <c r="I13" s="21"/>
    </row>
    <row r="14" spans="1:9" ht="16.2" x14ac:dyDescent="0.3">
      <c r="A14" s="21" t="s">
        <v>145</v>
      </c>
      <c r="B14" s="21"/>
      <c r="C14" s="21"/>
      <c r="D14" s="21"/>
      <c r="E14" s="21"/>
      <c r="F14" s="21"/>
      <c r="G14" s="21"/>
      <c r="H14" s="21"/>
      <c r="I14" s="21"/>
    </row>
    <row r="15" spans="1:9" ht="16.2" x14ac:dyDescent="0.3">
      <c r="A15" s="21" t="s">
        <v>146</v>
      </c>
      <c r="B15" s="21"/>
      <c r="C15" s="21"/>
      <c r="D15" s="21"/>
      <c r="E15" s="21"/>
      <c r="F15" s="21"/>
      <c r="G15" s="21"/>
      <c r="H15" s="21"/>
      <c r="I15" s="21"/>
    </row>
    <row r="16" spans="1:9" x14ac:dyDescent="0.3">
      <c r="A16" s="21"/>
      <c r="B16" s="21" t="s">
        <v>147</v>
      </c>
      <c r="C16" s="21"/>
      <c r="D16" s="21"/>
      <c r="E16" s="23">
        <v>0.6</v>
      </c>
      <c r="F16" s="21" t="s">
        <v>148</v>
      </c>
      <c r="G16" s="21">
        <f>E16*1000000</f>
        <v>600000</v>
      </c>
      <c r="H16" s="21" t="s">
        <v>149</v>
      </c>
      <c r="I16" s="21"/>
    </row>
    <row r="17" spans="1:9" x14ac:dyDescent="0.3">
      <c r="A17" s="21"/>
      <c r="B17" s="21" t="s">
        <v>150</v>
      </c>
      <c r="C17" s="21"/>
      <c r="D17" s="21"/>
      <c r="E17" s="23">
        <v>3.0000000000000001E-3</v>
      </c>
      <c r="F17" s="21" t="s">
        <v>148</v>
      </c>
      <c r="G17" s="21">
        <f>E17*1000000</f>
        <v>3000</v>
      </c>
      <c r="H17" s="21" t="s">
        <v>149</v>
      </c>
      <c r="I17" s="21"/>
    </row>
    <row r="18" spans="1:9" ht="16.2" x14ac:dyDescent="0.3">
      <c r="A18" s="21" t="s">
        <v>151</v>
      </c>
      <c r="B18" s="21"/>
      <c r="C18" s="21"/>
      <c r="D18" s="21"/>
      <c r="E18" s="21"/>
      <c r="F18" s="21"/>
      <c r="G18" s="21">
        <v>20</v>
      </c>
      <c r="H18" s="21" t="s">
        <v>87</v>
      </c>
      <c r="I18" s="21"/>
    </row>
    <row r="19" spans="1:9" x14ac:dyDescent="0.3">
      <c r="A19" s="21" t="s">
        <v>152</v>
      </c>
      <c r="B19" s="21"/>
      <c r="C19" s="21"/>
      <c r="D19" s="21"/>
      <c r="E19" s="21"/>
      <c r="F19" s="21"/>
      <c r="G19" s="21"/>
      <c r="H19" s="21"/>
      <c r="I19" s="21"/>
    </row>
    <row r="20" spans="1:9" x14ac:dyDescent="0.3">
      <c r="A20" s="21" t="s">
        <v>153</v>
      </c>
      <c r="B20" s="21"/>
      <c r="C20" s="21"/>
      <c r="D20" s="21"/>
      <c r="E20" s="21"/>
      <c r="F20" s="21"/>
      <c r="G20" s="21"/>
      <c r="H20" s="21"/>
      <c r="I20" s="21"/>
    </row>
    <row r="21" spans="1:9" x14ac:dyDescent="0.3">
      <c r="A21" s="21"/>
      <c r="B21" s="21"/>
      <c r="C21" s="24" t="s">
        <v>154</v>
      </c>
      <c r="D21" s="25" t="s">
        <v>155</v>
      </c>
      <c r="E21" s="21"/>
      <c r="F21" s="21"/>
      <c r="G21" s="21"/>
      <c r="H21" s="21"/>
      <c r="I21" s="21"/>
    </row>
    <row r="22" spans="1:9" ht="16.2" x14ac:dyDescent="0.3">
      <c r="A22" s="26" t="s">
        <v>156</v>
      </c>
      <c r="B22" s="21"/>
      <c r="C22" s="21">
        <f>G18</f>
        <v>20</v>
      </c>
      <c r="D22" s="21" t="s">
        <v>157</v>
      </c>
      <c r="E22" s="21">
        <f>0.0005*G18</f>
        <v>0.01</v>
      </c>
      <c r="F22" s="21" t="s">
        <v>87</v>
      </c>
      <c r="G22" s="21" t="s">
        <v>158</v>
      </c>
      <c r="H22" s="21">
        <f>E22*0.684*1000/3600</f>
        <v>1.9000000000000002E-3</v>
      </c>
      <c r="I22" s="21" t="s">
        <v>52</v>
      </c>
    </row>
    <row r="23" spans="1:9" x14ac:dyDescent="0.3">
      <c r="A23" s="21" t="s">
        <v>159</v>
      </c>
      <c r="B23" s="21"/>
      <c r="C23" s="21"/>
      <c r="D23" s="21"/>
      <c r="E23" s="21"/>
      <c r="F23" s="21"/>
      <c r="G23" s="21"/>
      <c r="H23" s="21"/>
      <c r="I23" s="21"/>
    </row>
    <row r="24" spans="1:9" x14ac:dyDescent="0.3">
      <c r="A24" s="21"/>
      <c r="B24" s="21"/>
      <c r="C24" s="21">
        <f>H22</f>
        <v>1.9000000000000002E-3</v>
      </c>
      <c r="D24" s="21" t="s">
        <v>160</v>
      </c>
      <c r="E24" s="21">
        <f>H22*E38*12</f>
        <v>13.680000000000001</v>
      </c>
      <c r="F24" s="21" t="s">
        <v>161</v>
      </c>
      <c r="G24" s="27">
        <f>E24/1000000</f>
        <v>1.3680000000000001E-5</v>
      </c>
      <c r="H24" s="21" t="s">
        <v>53</v>
      </c>
      <c r="I24" s="21"/>
    </row>
    <row r="25" spans="1:9" x14ac:dyDescent="0.3">
      <c r="A25" s="21" t="s">
        <v>162</v>
      </c>
      <c r="B25" s="21"/>
      <c r="C25" s="21"/>
      <c r="D25" s="21"/>
      <c r="E25" s="21"/>
      <c r="F25" s="21"/>
      <c r="G25" s="21"/>
      <c r="H25" s="21"/>
      <c r="I25" s="21"/>
    </row>
    <row r="26" spans="1:9" ht="16.2" x14ac:dyDescent="0.3">
      <c r="A26" s="21" t="s">
        <v>163</v>
      </c>
      <c r="B26" s="21"/>
      <c r="C26" s="21"/>
      <c r="D26" s="21"/>
      <c r="E26" s="21"/>
      <c r="F26" s="21"/>
      <c r="G26" s="21"/>
      <c r="H26" s="21"/>
      <c r="I26" s="21"/>
    </row>
    <row r="27" spans="1:9" x14ac:dyDescent="0.3">
      <c r="A27" s="21"/>
      <c r="B27" s="26" t="s">
        <v>164</v>
      </c>
      <c r="C27" s="21"/>
      <c r="D27" s="21" t="s">
        <v>165</v>
      </c>
      <c r="E27" s="21"/>
      <c r="F27" s="46">
        <f>H22*16/3600/1000</f>
        <v>8.4444444444444462E-9</v>
      </c>
      <c r="G27" s="46"/>
      <c r="H27" s="21" t="s">
        <v>52</v>
      </c>
      <c r="I27" s="21"/>
    </row>
    <row r="28" spans="1:9" x14ac:dyDescent="0.3">
      <c r="A28" s="21" t="s">
        <v>166</v>
      </c>
      <c r="B28" s="21"/>
      <c r="C28" s="21"/>
      <c r="D28" s="21"/>
      <c r="E28" s="21"/>
      <c r="F28" s="21"/>
      <c r="G28" s="21"/>
      <c r="H28" s="21"/>
      <c r="I28" s="21"/>
    </row>
    <row r="29" spans="1:9" x14ac:dyDescent="0.3">
      <c r="A29" s="47">
        <f>F27</f>
        <v>8.4444444444444462E-9</v>
      </c>
      <c r="B29" s="47"/>
      <c r="C29" s="21" t="s">
        <v>160</v>
      </c>
      <c r="D29" s="28">
        <f>F27*E38*12</f>
        <v>6.0800000000000014E-5</v>
      </c>
      <c r="E29" s="21" t="s">
        <v>161</v>
      </c>
      <c r="F29" s="48">
        <f>D29/1000000</f>
        <v>6.0800000000000012E-11</v>
      </c>
      <c r="G29" s="48"/>
      <c r="H29" s="21" t="s">
        <v>53</v>
      </c>
      <c r="I29" s="21"/>
    </row>
    <row r="30" spans="1:9" x14ac:dyDescent="0.3">
      <c r="A30" s="21" t="s">
        <v>167</v>
      </c>
      <c r="B30" s="21"/>
      <c r="C30" s="21"/>
      <c r="D30" s="21"/>
      <c r="E30" s="21"/>
      <c r="F30" s="21"/>
      <c r="G30" s="21"/>
      <c r="H30" s="21"/>
      <c r="I30" s="21"/>
    </row>
    <row r="31" spans="1:9" x14ac:dyDescent="0.3">
      <c r="A31" s="21" t="s">
        <v>168</v>
      </c>
      <c r="B31" s="21"/>
      <c r="C31" s="21"/>
      <c r="D31" s="21"/>
      <c r="E31" s="21"/>
      <c r="F31" s="21"/>
      <c r="G31" s="21"/>
      <c r="H31" s="21"/>
      <c r="I31" s="21"/>
    </row>
    <row r="32" spans="1:9" x14ac:dyDescent="0.3">
      <c r="A32" s="21" t="s">
        <v>169</v>
      </c>
      <c r="B32" s="21"/>
      <c r="C32" s="21"/>
      <c r="D32" s="21"/>
      <c r="E32" s="21"/>
      <c r="F32" s="21"/>
      <c r="G32" s="21"/>
      <c r="H32" s="21"/>
      <c r="I32" s="21"/>
    </row>
    <row r="33" spans="1:9" x14ac:dyDescent="0.3">
      <c r="A33" s="21" t="s">
        <v>170</v>
      </c>
      <c r="B33" s="21"/>
      <c r="C33" s="21"/>
      <c r="D33" s="21"/>
      <c r="E33" s="21"/>
      <c r="F33" s="21"/>
      <c r="G33" s="21"/>
      <c r="H33" s="21"/>
      <c r="I33" s="21"/>
    </row>
    <row r="34" spans="1:9" x14ac:dyDescent="0.3">
      <c r="A34" s="21" t="s">
        <v>171</v>
      </c>
      <c r="B34" s="21"/>
      <c r="C34" s="21"/>
      <c r="D34" s="21"/>
      <c r="E34" s="21"/>
      <c r="F34" s="21"/>
      <c r="G34" s="21"/>
      <c r="H34" s="21"/>
      <c r="I34" s="21"/>
    </row>
    <row r="35" spans="1:9" x14ac:dyDescent="0.3">
      <c r="A35" s="21" t="s">
        <v>172</v>
      </c>
      <c r="B35" s="21"/>
      <c r="C35" s="21"/>
      <c r="D35" s="21"/>
      <c r="E35" s="21"/>
      <c r="F35" s="21"/>
      <c r="G35" s="21"/>
      <c r="H35" s="21"/>
      <c r="I35" s="21"/>
    </row>
    <row r="36" spans="1:9" x14ac:dyDescent="0.3">
      <c r="A36" s="21" t="s">
        <v>173</v>
      </c>
      <c r="B36" s="21"/>
      <c r="C36" s="21"/>
      <c r="D36" s="21"/>
      <c r="E36" s="21"/>
      <c r="F36" s="21"/>
      <c r="G36" s="21"/>
      <c r="H36" s="21"/>
      <c r="I36" s="21"/>
    </row>
    <row r="37" spans="1:9" x14ac:dyDescent="0.3">
      <c r="A37" s="21" t="s">
        <v>174</v>
      </c>
      <c r="B37" s="21"/>
      <c r="C37" s="21"/>
      <c r="D37" s="21"/>
      <c r="E37" s="21"/>
      <c r="F37" s="21"/>
      <c r="G37" s="21"/>
      <c r="H37" s="21"/>
      <c r="I37" s="21"/>
    </row>
    <row r="38" spans="1:9" x14ac:dyDescent="0.3">
      <c r="A38" s="21" t="s">
        <v>175</v>
      </c>
      <c r="B38" s="21"/>
      <c r="C38" s="21"/>
      <c r="D38" s="21"/>
      <c r="E38" s="21">
        <v>600</v>
      </c>
      <c r="F38" s="21" t="s">
        <v>176</v>
      </c>
      <c r="G38" s="21"/>
      <c r="H38" s="21"/>
      <c r="I38" s="21"/>
    </row>
    <row r="39" spans="1:9" x14ac:dyDescent="0.3">
      <c r="A39" s="21"/>
      <c r="B39" s="21"/>
      <c r="C39" s="21"/>
      <c r="D39" s="21"/>
      <c r="E39" s="21"/>
      <c r="F39" s="21"/>
      <c r="G39" s="21"/>
      <c r="H39" s="21"/>
      <c r="I39" s="21"/>
    </row>
    <row r="40" spans="1:9" x14ac:dyDescent="0.3">
      <c r="A40" s="21" t="s">
        <v>177</v>
      </c>
      <c r="B40" s="21"/>
      <c r="C40" s="21"/>
      <c r="D40" s="21"/>
      <c r="E40" s="21"/>
      <c r="F40" s="21"/>
      <c r="G40" s="21"/>
      <c r="H40" s="21"/>
      <c r="I40" s="21"/>
    </row>
    <row r="41" spans="1:9" x14ac:dyDescent="0.3">
      <c r="A41" s="21" t="s">
        <v>178</v>
      </c>
      <c r="B41" s="21"/>
      <c r="C41" s="49">
        <f>H22*E38/1200</f>
        <v>9.5000000000000011E-4</v>
      </c>
      <c r="D41" s="49"/>
      <c r="E41" s="21" t="s">
        <v>179</v>
      </c>
      <c r="F41" s="29">
        <f>G24</f>
        <v>1.3680000000000001E-5</v>
      </c>
      <c r="G41" s="21" t="s">
        <v>53</v>
      </c>
      <c r="H41" s="21"/>
      <c r="I41" s="21"/>
    </row>
    <row r="42" spans="1:9" x14ac:dyDescent="0.3">
      <c r="A42" s="21" t="s">
        <v>180</v>
      </c>
      <c r="B42" s="21"/>
      <c r="C42" s="50">
        <f>F27*E38/1200</f>
        <v>4.2222222222222231E-9</v>
      </c>
      <c r="D42" s="50"/>
      <c r="E42" s="21" t="s">
        <v>179</v>
      </c>
      <c r="F42" s="30">
        <f>F29</f>
        <v>6.0800000000000012E-11</v>
      </c>
      <c r="G42" s="21" t="s">
        <v>53</v>
      </c>
      <c r="H42" s="21"/>
      <c r="I42" s="21"/>
    </row>
    <row r="43" spans="1:9" x14ac:dyDescent="0.3">
      <c r="A43" s="21"/>
      <c r="B43" s="21"/>
      <c r="C43" s="21"/>
      <c r="D43" s="21"/>
      <c r="E43" s="21"/>
      <c r="F43" s="21"/>
      <c r="G43" s="21"/>
      <c r="H43" s="21"/>
      <c r="I43" s="21"/>
    </row>
    <row r="44" spans="1:9" x14ac:dyDescent="0.3">
      <c r="A44" s="31" t="s">
        <v>181</v>
      </c>
      <c r="B44" s="32"/>
      <c r="C44" s="32"/>
      <c r="D44" s="32"/>
      <c r="E44" s="32"/>
      <c r="F44" s="32"/>
      <c r="G44" s="32"/>
      <c r="H44" s="21"/>
      <c r="I44" s="21"/>
    </row>
    <row r="45" spans="1:9" x14ac:dyDescent="0.3">
      <c r="A45" s="33" t="s">
        <v>182</v>
      </c>
      <c r="B45" s="44" t="s">
        <v>178</v>
      </c>
      <c r="C45" s="45"/>
      <c r="D45" s="34">
        <f>C41</f>
        <v>9.5000000000000011E-4</v>
      </c>
      <c r="E45" s="35" t="s">
        <v>179</v>
      </c>
      <c r="F45" s="34">
        <f>F41</f>
        <v>1.3680000000000001E-5</v>
      </c>
      <c r="G45" s="35" t="s">
        <v>53</v>
      </c>
      <c r="H45" s="21"/>
      <c r="I45" s="21"/>
    </row>
    <row r="46" spans="1:9" x14ac:dyDescent="0.3">
      <c r="A46" s="33" t="s">
        <v>183</v>
      </c>
      <c r="B46" s="44" t="s">
        <v>184</v>
      </c>
      <c r="C46" s="45"/>
      <c r="D46" s="36">
        <f>C42</f>
        <v>4.2222222222222231E-9</v>
      </c>
      <c r="E46" s="35" t="s">
        <v>179</v>
      </c>
      <c r="F46" s="37">
        <f>F42</f>
        <v>6.0800000000000012E-11</v>
      </c>
      <c r="G46" s="35" t="s">
        <v>53</v>
      </c>
      <c r="H46" s="21"/>
      <c r="I46" s="21"/>
    </row>
    <row r="47" spans="1:9" x14ac:dyDescent="0.3">
      <c r="A47" s="38" t="s">
        <v>185</v>
      </c>
      <c r="B47" s="32"/>
      <c r="C47" s="32"/>
      <c r="D47" s="32"/>
      <c r="E47" s="32"/>
      <c r="F47" s="32"/>
      <c r="G47" s="32"/>
      <c r="H47" s="21"/>
      <c r="I47" s="21"/>
    </row>
    <row r="48" spans="1:9" x14ac:dyDescent="0.3">
      <c r="A48" s="33" t="s">
        <v>182</v>
      </c>
      <c r="B48" s="44" t="s">
        <v>178</v>
      </c>
      <c r="C48" s="45"/>
      <c r="D48" s="34">
        <f>D45</f>
        <v>9.5000000000000011E-4</v>
      </c>
      <c r="E48" s="35" t="s">
        <v>179</v>
      </c>
      <c r="F48" s="34">
        <f>F45</f>
        <v>1.3680000000000001E-5</v>
      </c>
      <c r="G48" s="35" t="s">
        <v>53</v>
      </c>
      <c r="H48" s="21"/>
      <c r="I48" s="21"/>
    </row>
    <row r="49" spans="1:9" x14ac:dyDescent="0.3">
      <c r="A49" s="33" t="s">
        <v>183</v>
      </c>
      <c r="B49" s="44" t="s">
        <v>184</v>
      </c>
      <c r="C49" s="45"/>
      <c r="D49" s="36">
        <f>D46</f>
        <v>4.2222222222222231E-9</v>
      </c>
      <c r="E49" s="35" t="s">
        <v>179</v>
      </c>
      <c r="F49" s="37">
        <f>F46</f>
        <v>6.0800000000000012E-11</v>
      </c>
      <c r="G49" s="35" t="s">
        <v>53</v>
      </c>
      <c r="H49" s="21"/>
      <c r="I49" s="21"/>
    </row>
  </sheetData>
  <mergeCells count="9">
    <mergeCell ref="B46:C46"/>
    <mergeCell ref="B48:C48"/>
    <mergeCell ref="B49:C49"/>
    <mergeCell ref="F27:G27"/>
    <mergeCell ref="A29:B29"/>
    <mergeCell ref="F29:G29"/>
    <mergeCell ref="C41:D41"/>
    <mergeCell ref="C42:D42"/>
    <mergeCell ref="B45:C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0001</vt:lpstr>
      <vt:lpstr>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2024-03-05T08:30:03Z</dcterms:modified>
</cp:coreProperties>
</file>